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01 Dashboard" sheetId="2" r:id="rId6"/>
    <sheet state="visible" name="02 Page Master" sheetId="3" r:id="rId7"/>
    <sheet state="visible" name="03 Keyword Bank" sheetId="4" r:id="rId8"/>
    <sheet state="visible" name="04 Page Templates" sheetId="5" r:id="rId9"/>
    <sheet state="visible" name="05 Internal Linking" sheetId="6" r:id="rId10"/>
    <sheet state="visible" name="06 Schema Markup" sheetId="7" r:id="rId11"/>
    <sheet state="visible" name="07 Technical SEO" sheetId="8" r:id="rId12"/>
    <sheet state="visible" name="08 Build Phases" sheetId="9" r:id="rId13"/>
    <sheet state="visible" name="09 City &amp; Industry Data" sheetId="10" r:id="rId14"/>
    <sheet state="visible" name="10 Competitor Benchmark" sheetId="11" r:id="rId15"/>
  </sheets>
  <definedNames>
    <definedName hidden="1" localSheetId="2" name="_xlnm._FilterDatabase">'02 Page Master'!$A$3:$X$109</definedName>
    <definedName hidden="1" localSheetId="3" name="_xlnm._FilterDatabase">'03 Keyword Bank'!$A$3:$G$102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Copy these literally into the &lt;title&gt; tag. Every value is pre-checked at 60 characters or under, which is where Google truncates on desktop. Source: lengths supplied by Sakshi Forge brief + SERP display limits.</t>
      </text>
    </comment>
    <comment authorId="0" ref="I3">
      <text>
        <t xml:space="preserve">Copy literally into &lt;meta name="description"&gt;. All values sit between 110 and 158 characters. These do not directly rank a page but they drive click-through, which does.</t>
      </text>
    </comment>
    <comment authorId="0" ref="N3">
      <text>
        <t xml:space="preserve">Apply the matching JSON-LD from sheet '06 Schema Markup'. Multiple types on one page is correct and expected.</t>
      </text>
    </comment>
  </commentList>
</comments>
</file>

<file path=xl/sharedStrings.xml><?xml version="1.0" encoding="utf-8"?>
<sst xmlns="http://schemas.openxmlformats.org/spreadsheetml/2006/main" count="3205" uniqueCount="1638">
  <si>
    <t>KEYWORD BANK — TRANSACTIONAL FOCUS</t>
  </si>
  <si>
    <t>BUILD DASHBOARD</t>
  </si>
  <si>
    <t>SAKSHI FORGE — ELECTROPOLISHED PIPE SEO BUILD SPEC</t>
  </si>
  <si>
    <t>PAGE MASTER — THE BUILD LIST</t>
  </si>
  <si>
    <t>Every keyword maps to exactly ONE url. Two pages targeting the same term cannibalise each other and both lose.</t>
  </si>
  <si>
    <t>Developer handover pack  ·  steelmanufacturer.in  ·  106 pages  ·  organic / SEO only</t>
  </si>
  <si>
    <t>#</t>
  </si>
  <si>
    <t>All figures are live formulas reading sheet '02 Page Master'. Do not overwrite them.</t>
  </si>
  <si>
    <t>SECTION</t>
  </si>
  <si>
    <t>Keyword</t>
  </si>
  <si>
    <t>Intent Class</t>
  </si>
  <si>
    <t>Buyer Stage</t>
  </si>
  <si>
    <t>PAGES BY PHASE</t>
  </si>
  <si>
    <t>One row = one page. Columns G and I are ready to copy literally. Amber columns are yours to update. Filter by Phase to work in sequence.</t>
  </si>
  <si>
    <t>Mapped URL (one page only)</t>
  </si>
  <si>
    <t>Placement</t>
  </si>
  <si>
    <t>WHAT IT CONTAINS</t>
  </si>
  <si>
    <t>Competition Note</t>
  </si>
  <si>
    <t>WHO ACTS ON IT</t>
  </si>
  <si>
    <t>DO THIS FIRST?</t>
  </si>
  <si>
    <t>ID</t>
  </si>
  <si>
    <t>01 Dashboard</t>
  </si>
  <si>
    <t>Priority</t>
  </si>
  <si>
    <t>Phase</t>
  </si>
  <si>
    <t>Page Type</t>
  </si>
  <si>
    <t>Electropolished Pipes</t>
  </si>
  <si>
    <t>URL (full path)</t>
  </si>
  <si>
    <t>Pages</t>
  </si>
  <si>
    <t>Live counts of pages by phase, type and build status. Updates automatically as the Status columns in 02 are filled in.</t>
  </si>
  <si>
    <t>H1 (on-page heading)</t>
  </si>
  <si>
    <t>Not started</t>
  </si>
  <si>
    <t>Akshat (tracking)</t>
  </si>
  <si>
    <t>No</t>
  </si>
  <si>
    <t>In progress</t>
  </si>
  <si>
    <t>Transactional-Head</t>
  </si>
  <si>
    <t>Live</t>
  </si>
  <si>
    <t>Ready to buy</t>
  </si>
  <si>
    <t>% Complete</t>
  </si>
  <si>
    <t>02 Page Master</t>
  </si>
  <si>
    <t>/electropolished-pipes/</t>
  </si>
  <si>
    <t>Title Tag  &lt;title&gt;</t>
  </si>
  <si>
    <t>Phase 1 — Foundation</t>
  </si>
  <si>
    <t>Title len</t>
  </si>
  <si>
    <t>THE BUILD LIST. Every URL, H1, title tag, meta description, target keyword, word count, schema and internal links. One row = one page to build.</t>
  </si>
  <si>
    <t>Meta Description</t>
  </si>
  <si>
    <t>Developer + content writer</t>
  </si>
  <si>
    <t>Meta len</t>
  </si>
  <si>
    <t>YES — this is the core sheet</t>
  </si>
  <si>
    <t>H1 + first 100 words + title tag</t>
  </si>
  <si>
    <t>Primary Keyword</t>
  </si>
  <si>
    <t>03 Keyword Bank</t>
  </si>
  <si>
    <t>Secondary Keywords</t>
  </si>
  <si>
    <t>All 55 seed keywords plus city and industry expansions, each classified by intent and mapped to exactly one URL so two pages never chase the same term.</t>
  </si>
  <si>
    <t>Word Count Target</t>
  </si>
  <si>
    <t>Content writer</t>
  </si>
  <si>
    <t>Both competitors rank here. Hardest terms — expect 6-9 months. Win on page depth + schema.</t>
  </si>
  <si>
    <t>Read before writing</t>
  </si>
  <si>
    <t>Schema Types</t>
  </si>
  <si>
    <t>Parent (breadcrumb)</t>
  </si>
  <si>
    <t>04 Page Templates</t>
  </si>
  <si>
    <t>Internal Links OUT</t>
  </si>
  <si>
    <t>Conversion Element (CTA)</t>
  </si>
  <si>
    <t>The H1/H2/H3 skeleton for each page type, plus the mandatory on-page blocks (spec table, FAQ, CTA). Follow these so every page is consistent.</t>
  </si>
  <si>
    <t>Image alt / filename base</t>
  </si>
  <si>
    <t>Content writer + developer</t>
  </si>
  <si>
    <t>Build Notes for Developer</t>
  </si>
  <si>
    <t>Electropolished SS Pipes</t>
  </si>
  <si>
    <t>05 Internal Linking</t>
  </si>
  <si>
    <t>Dev Status</t>
  </si>
  <si>
    <t>The silo rules: what links to what, anchor text patterns, breadcrumb structure. Getting this right is most of the ranking benefit.</t>
  </si>
  <si>
    <t>Content Status</t>
  </si>
  <si>
    <t>Developer</t>
  </si>
  <si>
    <t>Date Live</t>
  </si>
  <si>
    <t>YES</t>
  </si>
  <si>
    <t>GSC Indexed?</t>
  </si>
  <si>
    <t>06 Schema Markup</t>
  </si>
  <si>
    <t>SF-001</t>
  </si>
  <si>
    <t>Copy-paste JSON-LD blocks for each schema type, with the fields to swap. Google rich results depend on these being valid.</t>
  </si>
  <si>
    <t>07 Technical SEO</t>
  </si>
  <si>
    <t>The non-negotiable technical checklist — indexation, sitemap, robots.txt, canonicals, speed, mobile, image handling.</t>
  </si>
  <si>
    <t>YES — item 1 is urgent</t>
  </si>
  <si>
    <t>P1</t>
  </si>
  <si>
    <t>08 Build Phases</t>
  </si>
  <si>
    <t>Electropolished Stainless Steel Pipes</t>
  </si>
  <si>
    <t>Sequenced delivery plan. Phase 1 first, and do NOT start Phase 4 until Phase 1-3 pages are indexed and ranking.</t>
  </si>
  <si>
    <t>Both</t>
  </si>
  <si>
    <t>Homepage</t>
  </si>
  <si>
    <t>09 City &amp; Industry Data</t>
  </si>
  <si>
    <t>/</t>
  </si>
  <si>
    <t>Reference table of every target city, its industrial areas and sectors — the raw material for writing unique local content.</t>
  </si>
  <si>
    <t>Electropolished Pipes &amp; Tubes Manufacturer in India</t>
  </si>
  <si>
    <t>Read before writing city pages</t>
  </si>
  <si>
    <t>EP Pipes</t>
  </si>
  <si>
    <t>10 Competitor Benchmark</t>
  </si>
  <si>
    <t>Electropolished Pipe Manufacturer India | Sakshi Forge</t>
  </si>
  <si>
    <t>What cerapuresteel.com and mahadevdairypharmafitting.com do, and the specific gaps this build is designed to exploit.</t>
  </si>
  <si>
    <t>Context</t>
  </si>
  <si>
    <t>SS EP Pipes</t>
  </si>
  <si>
    <t>HOW TO USE THIS WORKBOOK</t>
  </si>
  <si>
    <t>Stainless Steel EP Pipes</t>
  </si>
  <si>
    <t>1.  Developer works top-to-bottom through sheet 07 Technical SEO. Nothing on this site can rank until it is crawlable and indexed.</t>
  </si>
  <si>
    <t>Electropolished Tubes</t>
  </si>
  <si>
    <t>/electropolished-tubes/</t>
  </si>
  <si>
    <t>SS Electropolished Tubes</t>
  </si>
  <si>
    <t>ISO 9001:2015 certified electropolished pipe &amp; tube manufacturer in Mumbai. SS 316L/304L EP pipes, Ra 0.38 um, ASTM A270, EN 10204 3.1 MTC. Get a quote in.</t>
  </si>
  <si>
    <t>Electropolished Pipe Manufacturer</t>
  </si>
  <si>
    <t>2.  Filter sheet 02 Page Master by Phase = 1. Build only those 25 pages first. Copy the Title Tag and Meta Description columns literally — they are already length-checked.</t>
  </si>
  <si>
    <t>Transactional-Buyer</t>
  </si>
  <si>
    <t>Vendor selection</t>
  </si>
  <si>
    <t>Title tag + H2 'Why buy from us'</t>
  </si>
  <si>
    <t>3.  For each page, open sheet 04 Page Templates, find the matching Page Type, and follow its heading skeleton and mandatory blocks.</t>
  </si>
  <si>
    <t>Highest commercial value. IndiaMART dominates page 1 — a directory listing is needed alongside the page.</t>
  </si>
  <si>
    <t>Electropolished Pipe Supplier</t>
  </si>
  <si>
    <t>electropolished pipe manufacturer india</t>
  </si>
  <si>
    <t>4.  Apply the JSON-LD from sheet 06 that matches the Schema column for that page. Validate every page at search.google.com/test/rich-results before marking it done.</t>
  </si>
  <si>
    <t>electropolished pipes | EP pipes | electropolished stainless steel pipes | SS EP pipes</t>
  </si>
  <si>
    <t>Electropolished Pipe Stockist</t>
  </si>
  <si>
    <t>Organization; WebSite; SiteNavigationElement; BreadcrumbList</t>
  </si>
  <si>
    <t>-</t>
  </si>
  <si>
    <t>5.  Wire internal links exactly as sheet 05 specifies. Use the anchor text given — not 'click here', not the bare URL.</t>
  </si>
  <si>
    <t>All 12 product pages, top 5 industry pages, top 5 city pages, /request-a-quote/</t>
  </si>
  <si>
    <t>Electropolished SS Pipe Manufacturer</t>
  </si>
  <si>
    <t>Sticky RFQ bar + WhatsApp + phone; hero quote form (4 fields)</t>
  </si>
  <si>
    <t>sakshi-forge-electropolished-pipe-manufacturer-india</t>
  </si>
  <si>
    <t>Hero must state: EP capability, Ra value, grades, standards, MOQ, delivery. Add trust strip (ISO logo, MTC, PMI) above the fold.</t>
  </si>
  <si>
    <t>Electropolished SS Pipe Supplier</t>
  </si>
  <si>
    <t>6.  Update the Dev Status and Content Status columns in sheet 02 as you go. Sheet 01 Dashboard totals update by themselves.</t>
  </si>
  <si>
    <t>SS 316L Electropolished Pipes</t>
  </si>
  <si>
    <t>Transactional-Grade</t>
  </si>
  <si>
    <t>7.  Submit each finished batch in Google Search Console and confirm indexation before starting the next phase.</t>
  </si>
  <si>
    <t>Spec locked</t>
  </si>
  <si>
    <t>/ss-316l-electropolished-pipes/</t>
  </si>
  <si>
    <t>H1 + spec table</t>
  </si>
  <si>
    <t>Moderate competition, strong intent. Realistic 3-6 month win.</t>
  </si>
  <si>
    <t>SS 316L EP Pipes</t>
  </si>
  <si>
    <t>Phase 2 — Depth</t>
  </si>
  <si>
    <t>COLOUR LEGEND</t>
  </si>
  <si>
    <t>SS 304L Electropolished Pipes</t>
  </si>
  <si>
    <t>/ss-304l-electropolished-pipes/</t>
  </si>
  <si>
    <t>Amber fill = a cell YOU must fill in or decide. Nothing amber should ship as-is.</t>
  </si>
  <si>
    <t>316L EP Tubes</t>
  </si>
  <si>
    <t>SF-002</t>
  </si>
  <si>
    <t>Green fill = ready to use exactly as written. Copy it literally.</t>
  </si>
  <si>
    <t>304L EP Tubes</t>
  </si>
  <si>
    <t>Category Hub</t>
  </si>
  <si>
    <t>Electropolished Seamless Pipes</t>
  </si>
  <si>
    <t>Transactional-Type</t>
  </si>
  <si>
    <t>Red fill = warning / risk. Read the note before acting.</t>
  </si>
  <si>
    <t>/electropolished-seamless-pipes/</t>
  </si>
  <si>
    <t>H1 of matching product page</t>
  </si>
  <si>
    <t>/products/</t>
  </si>
  <si>
    <t>Lower competition. Good early-win targets.</t>
  </si>
  <si>
    <t>Electropolished ERW Pipes</t>
  </si>
  <si>
    <t>Electropolished Pipes, Tubes &amp; Fittings</t>
  </si>
  <si>
    <t>/electropolished-welded-erw-pipes/</t>
  </si>
  <si>
    <t>EP Pipes, Tubes &amp; Fittings — Product Range | Sakshi Forge</t>
  </si>
  <si>
    <t>Electropolished Pipe &amp; Fittings</t>
  </si>
  <si>
    <t>/electropolished-pipe-fittings/</t>
  </si>
  <si>
    <t>Blue fill = reference data, not an instruction.</t>
  </si>
  <si>
    <t>Full range of electropolished stainless steel pipes, tubes and fittings in SS 316L and 304L. Seamless, ERW, ID-EP, sanitary and UHP grades. Request a quote.</t>
  </si>
  <si>
    <t>Phase 3 — Reach</t>
  </si>
  <si>
    <t>Electropolished Sanitary Pipes</t>
  </si>
  <si>
    <t>electropolished pipes and fittings</t>
  </si>
  <si>
    <t>/sanitary-hygienic-ep-pipes/</t>
  </si>
  <si>
    <t>EP pipes | EP tubes | electropolished pipe fittings</t>
  </si>
  <si>
    <t>Electropolished Hygienic Pipes</t>
  </si>
  <si>
    <t>CollectionPage; BreadcrumbList</t>
  </si>
  <si>
    <t>CRITICAL WARNING — READ BEFORE BUILDING PHASE 4</t>
  </si>
  <si>
    <t>All 12 product pages</t>
  </si>
  <si>
    <t>Inline RFQ form</t>
  </si>
  <si>
    <t>High Purity Stainless Steel Pipes</t>
  </si>
  <si>
    <t>electropolished-pipe-product-range</t>
  </si>
  <si>
    <t>Card grid, one card per product page. Each card = image + 2-line spec + 'Get Quote'.</t>
  </si>
  <si>
    <t>/high-purity-stainless-steel-pipes/</t>
  </si>
  <si>
    <t>High Purity EP Tubes</t>
  </si>
  <si>
    <t>Phase 4 contains 45 pages, of which 27 are City x Product and Industry x City combinations. These only work if each one carries genuinely different content — real local industrial areas, real dispatch lead times, real stock positions. If they are spun from a template with the city name swapped, Google treats them as scaled content abuse and the penalty lands on the WHOLE domain, not just those pages. Both competitors analysed are carrying this risk already. If you cannot write 27 genuinely distinct pages, build 10 good ones and delete the rest from the plan.</t>
  </si>
  <si>
    <t>SF-003</t>
  </si>
  <si>
    <t>Product (Money)</t>
  </si>
  <si>
    <t>Electropolished Pipes Manufacturer &amp; Supplier</t>
  </si>
  <si>
    <t>Electropolished Pipes Manufacturer &amp; Supplier | India</t>
  </si>
  <si>
    <t>Pharmaceutical Grade EP Pipes</t>
  </si>
  <si>
    <t>Transactional-Industry</t>
  </si>
  <si>
    <t>Electropolished SS pipes in 304L &amp; 316L, Ra down to 0.38 um (15 uin). ASTM A270/A312, ASME BPE SF4, EN 10204 3.1 MTC. Mumbai manufacturer — quote in 24 hrs.</t>
  </si>
  <si>
    <t>Problem aware</t>
  </si>
  <si>
    <t>/industries/pharmaceutical-electropolished-pipes/</t>
  </si>
  <si>
    <t>H1 + application section</t>
  </si>
  <si>
    <t>Weakly covered by both competitors. FASTEST WINS — prioritise.</t>
  </si>
  <si>
    <t>electropolished pipes</t>
  </si>
  <si>
    <t>electropolished ss pipes | electropolished stainless steel pipes | EP pipes | SS EP pipes | stainless steel EP pipes</t>
  </si>
  <si>
    <t>Pharma EP Pipes</t>
  </si>
  <si>
    <t>Product; BreadcrumbList; FAQPage; Organization</t>
  </si>
  <si>
    <t>Phase 4 — Expansion (gated)</t>
  </si>
  <si>
    <t>/asme-bpe-electropolished-tubes/, /astm-a270-electropolished-tubes/, top 3 industry pages, /request-a-quote/</t>
  </si>
  <si>
    <t>Spec-table + inline RFQ (grade, OD, WT, qty, Ra) + WhatsApp</t>
  </si>
  <si>
    <t>electropolished-pipes-sakshi-forge</t>
  </si>
  <si>
    <t>MUST include: spec table (OD/WT/length/Ra), chemical composition table, standards list, 6-8 FAQ block, 3 real photos of stock.</t>
  </si>
  <si>
    <t>Dairy EP Pipes</t>
  </si>
  <si>
    <t>/industries/dairy-electropolished-pipes/</t>
  </si>
  <si>
    <t>SF-004</t>
  </si>
  <si>
    <t>Food Grade EP Pipes</t>
  </si>
  <si>
    <t>/industries/food-processing-electropolished-pipes/</t>
  </si>
  <si>
    <t>Electropolished Tubes Manufacturer &amp; Supplier</t>
  </si>
  <si>
    <t>Electropolished Tubes Manufacturer &amp; Supplier India</t>
  </si>
  <si>
    <t>Beverage Industry EP Pipes</t>
  </si>
  <si>
    <t>SS electropolished tubes for pharma, dairy &amp; biotech. ASTM A270 sanitary tubing, ASME BPE SF4 finish, ID Ra 0.38 um. ISO 9001:2015 manufacturer. Get.</t>
  </si>
  <si>
    <t>/industries/beverage-electropolished-pipes/</t>
  </si>
  <si>
    <t>electropolished tubes</t>
  </si>
  <si>
    <t>SS electropolished tubes | EP tubes | electropolished tube supplier</t>
  </si>
  <si>
    <t>Mango Pulp Processing EP Pipes</t>
  </si>
  <si>
    <t>electropolished-tubes-sakshi-forge</t>
  </si>
  <si>
    <t>SF-005</t>
  </si>
  <si>
    <t>SS 316L Electropolished Pipes Manufacturer &amp; Supplier</t>
  </si>
  <si>
    <t>SS 316L Electropolished Pipes | 316L EP Pipe Supplier</t>
  </si>
  <si>
    <t>TOTAL</t>
  </si>
  <si>
    <t>SS 316L electropolished pipes &amp; tubes with ID Ra 0.38 um, ASME BPE SF4. For WFI, CIP/SIP, API and bioprocess lines. EN 10204 3.1 MTC + PMI. Request a quote.</t>
  </si>
  <si>
    <t>ss 316l electropolished pipes</t>
  </si>
  <si>
    <t>SS 316L EP pipes | 316L EP tubes | 316L electropolished tubing</t>
  </si>
  <si>
    <t>/industries/mango-pulp-electropolished-pipes/</t>
  </si>
  <si>
    <t>Fruit Processing EP Pipes</t>
  </si>
  <si>
    <t>ss-316l-electropolished-pipes-sakshi-forge</t>
  </si>
  <si>
    <t>CIP Line EP Pipes</t>
  </si>
  <si>
    <t>Transactional-Application</t>
  </si>
  <si>
    <t>SF-006</t>
  </si>
  <si>
    <t>H2 on CIP/SIP section</t>
  </si>
  <si>
    <t>Almost uncovered by competitors. Very fast win.</t>
  </si>
  <si>
    <t>SIP Line EP Pipes</t>
  </si>
  <si>
    <t>SS 304L Electropolished Pipes Manufacturer &amp; Supplier</t>
  </si>
  <si>
    <t>SS 304L Electropolished Pipes | 304L EP Pipe Supplier</t>
  </si>
  <si>
    <t>SS 304L electropolished pipes for dairy, food and beverage process lines. Sanitary Ra finish, ASTM A270 compliant, MTC supplied. Mumbai manufacturer — get.</t>
  </si>
  <si>
    <t>Cleanroom EP Pipes</t>
  </si>
  <si>
    <t>ss 304l electropolished pipes</t>
  </si>
  <si>
    <t>PAGES BY TYPE</t>
  </si>
  <si>
    <t>304L EP tubes | 304L electropolished tubing | SS 304L EP pipes</t>
  </si>
  <si>
    <t>Page type</t>
  </si>
  <si>
    <t>Biotech EP Pipes</t>
  </si>
  <si>
    <t>ss-304l-electropolished-pipes-sakshi-forge</t>
  </si>
  <si>
    <t>/industries/biotech-electropolished-pipes/</t>
  </si>
  <si>
    <t>Blog</t>
  </si>
  <si>
    <t>API Plant EP Pipes</t>
  </si>
  <si>
    <t>SF-007</t>
  </si>
  <si>
    <t>Electropolished Seamless Pipes Manufacturer &amp; Supplier</t>
  </si>
  <si>
    <t>Electropolished Seamless Pipes Manufacturer India</t>
  </si>
  <si>
    <t>Electropolished Pipe for Pharma Industry</t>
  </si>
  <si>
    <t>Seamless electropolished stainless steel pipes in 316L/304L. No weld seam, uniform ID finish for high-purity and UHP service. ASTM A213/A269. Request.</t>
  </si>
  <si>
    <t>electropolished seamless pipes</t>
  </si>
  <si>
    <t>Electropolished Pipe for Dairy Industry</t>
  </si>
  <si>
    <t>EP seamless pipes | seamless electropolished tubing</t>
  </si>
  <si>
    <t>electropolished-seamless-pipes-sakshi-forge</t>
  </si>
  <si>
    <t>Electropolished Pipe for Food Processing</t>
  </si>
  <si>
    <t>Electropolished Pipe for Beverage Industry</t>
  </si>
  <si>
    <t>SF-008</t>
  </si>
  <si>
    <t>Electropolished Pipe for Mango Pulp Industry</t>
  </si>
  <si>
    <t>Electropolished Welded / ERW Pipes Manufacturer &amp; Supplier</t>
  </si>
  <si>
    <t>Electropolished Welded / ERW Pipes Supplier India</t>
  </si>
  <si>
    <t>Electropolished welded and ERW stainless steel pipes, ASTM A270 &amp; A312. Bead-rolled and ID-polished options for sanitary and hygienic service. Get a quote.</t>
  </si>
  <si>
    <t>Electropolished Pipe for Biotech Industry</t>
  </si>
  <si>
    <t>electropolished erw pipes</t>
  </si>
  <si>
    <t>electropolished welded pipes | EP ERW tube | welded EP tubing</t>
  </si>
  <si>
    <t>Electropolished Pipe for Semiconductor Industry</t>
  </si>
  <si>
    <t>electropolished-welded-erw-pipes-sakshi-forge</t>
  </si>
  <si>
    <t>City</t>
  </si>
  <si>
    <t>/industries/semiconductor-electropolished-pipes/</t>
  </si>
  <si>
    <t>ASTM A270 Electropolished Tubes</t>
  </si>
  <si>
    <t>Transactional-Standard</t>
  </si>
  <si>
    <t>SF-009</t>
  </si>
  <si>
    <t>/astm-a270-electropolished-tubes/</t>
  </si>
  <si>
    <t>H1 + scope table</t>
  </si>
  <si>
    <t>Electropolished Pipe Fittings Manufacturer &amp; Supplier</t>
  </si>
  <si>
    <t>Mahadev has a full ASTM page matrix here; CeraPure has 2 pages. Beat them on accuracy, not volume.</t>
  </si>
  <si>
    <t>Electropolished Pipe Fittings — Elbows, Tees, Reducers</t>
  </si>
  <si>
    <t>Electropolished SS 316L/304L fittings: elbows, tees, reducers, TC ferrules, bends. ASME BPE dimensions, SF4 EP finish, matched to your tube ID. Request a.</t>
  </si>
  <si>
    <t>ASTM A312 Electropolished Pipes</t>
  </si>
  <si>
    <t>electropolished pipe fittings</t>
  </si>
  <si>
    <t>City x Product</t>
  </si>
  <si>
    <t>EP elbows | EP tees | EP reducers | electropolished sanitary fittings</t>
  </si>
  <si>
    <t>/astm-a312-electropolished-pipes/</t>
  </si>
  <si>
    <t>electropolished-pipe-fittings-sakshi-forge</t>
  </si>
  <si>
    <t>ASME BPE Electropolished Pipes</t>
  </si>
  <si>
    <t>/asme-bpe-electropolished-tubes/</t>
  </si>
  <si>
    <t>SF-010</t>
  </si>
  <si>
    <t>ASME BPE EP Tubes</t>
  </si>
  <si>
    <t>/internal-electropolished-pipes/</t>
  </si>
  <si>
    <t>Internal (ID) Electropolished Pipes Manufacturer &amp; Supplier</t>
  </si>
  <si>
    <t>Internal (ID) Electropolished Pipes | ID EP Pipe Supplier</t>
  </si>
  <si>
    <t>Internally electropolished SS pipes where only the bore is EP finished — the cost-efficient choice for process lines. ID Ra 0.38 um, OD as-supplied or.</t>
  </si>
  <si>
    <t>Internal Electropolished Pipes</t>
  </si>
  <si>
    <t>Transactional-Spec</t>
  </si>
  <si>
    <t>internal electropolished pipes</t>
  </si>
  <si>
    <t>ID electropolished stainless steel pipes | inside and outside electropolished pipes</t>
  </si>
  <si>
    <t>H2 + Ra table</t>
  </si>
  <si>
    <t>Low volume, very high intent. Cheap wins that convert.</t>
  </si>
  <si>
    <t>internal-electropolished-pipes-sakshi-forge</t>
  </si>
  <si>
    <t>ID Electropolished Stainless Steel Pipes</t>
  </si>
  <si>
    <t>SF-011</t>
  </si>
  <si>
    <t>Inside &amp; Outside Electropolished Pipes</t>
  </si>
  <si>
    <t>High Purity Stainless Steel Pipes Manufacturer &amp; Supplier</t>
  </si>
  <si>
    <t>High Purity Stainless Steel Pipes Supplier India</t>
  </si>
  <si>
    <t>Industry</t>
  </si>
  <si>
    <t>High purity SS pipes &amp; tubes for pharma, biotech and semiconductor service. Low Ra electropolished bore, passivated, PMI verified, EN 10204 3.1 MTC. Get a.</t>
  </si>
  <si>
    <t>high purity stainless steel pipes</t>
  </si>
  <si>
    <t>Mirror Finish EP Pipes</t>
  </si>
  <si>
    <t>high purity EP tubes | high purity SS tubing</t>
  </si>
  <si>
    <t>/low-ra-electropolished-pipes/</t>
  </si>
  <si>
    <t>high-purity-stainless-steel-pipes-sakshi-forge</t>
  </si>
  <si>
    <t>Low RA Electropolished Pipes</t>
  </si>
  <si>
    <t>SF-012</t>
  </si>
  <si>
    <t>/ultra-high-purity-ep-tubes/</t>
  </si>
  <si>
    <t>Industry x City</t>
  </si>
  <si>
    <t>Ultra High Purity EP Tubes Manufacturer &amp; Supplier</t>
  </si>
  <si>
    <t>Ultra High Purity EP Tubes | UHP Tubing India</t>
  </si>
  <si>
    <t>Low Roughness Stainless Steel Pipes</t>
  </si>
  <si>
    <t>UHP electropolished tubing for semiconductor gas lines and UPW loops. SEMI F19-referenced surface finishes, capped and double-bagged, cleanroom packed.</t>
  </si>
  <si>
    <t>ultra high purity ep tubes</t>
  </si>
  <si>
    <t>UHP EP tubing | semiconductor EP tube | high purity gas line tube</t>
  </si>
  <si>
    <t>Ultra High Purity EP Tubes</t>
  </si>
  <si>
    <t>ultra-high-purity-ep-tubes-sakshi-forge</t>
  </si>
  <si>
    <t>SF-013</t>
  </si>
  <si>
    <t>Low Ra Electropolished Pipes Manufacturer &amp; Supplier</t>
  </si>
  <si>
    <t>Low Ra Electropolished Pipes | Ra 0.38 um / 15 uin</t>
  </si>
  <si>
    <t>Low roughness electropolished stainless steel pipes with certified Ra readings. SF4 (0.38 um), SF5, SF6 finishes; profilometer report supplied with every.</t>
  </si>
  <si>
    <t>low ra electropolished pipes</t>
  </si>
  <si>
    <t>low roughness stainless steel pipes | mirror finish EP pipes | Ra 15 microinch tube</t>
  </si>
  <si>
    <t>low-ra-electropolished-pipes-sakshi-forge</t>
  </si>
  <si>
    <t>CITY-MODIFIED TRANSACTIONAL EXPANSIONS</t>
  </si>
  <si>
    <t>Resource/chart</t>
  </si>
  <si>
    <t>SF-014</t>
  </si>
  <si>
    <t>electropolished pipe manufacturer in hyderabad</t>
  </si>
  <si>
    <t>Transactional-Local</t>
  </si>
  <si>
    <t>Sanitary &amp; Hygienic EP Pipes Manufacturer &amp; Supplier</t>
  </si>
  <si>
    <t>Sanitary &amp; Hygienic Electropolished Pipes India</t>
  </si>
  <si>
    <t>/electropolished-pipe-supplier-hyderabad/</t>
  </si>
  <si>
    <t>H1 + local dispatch section</t>
  </si>
  <si>
    <t>Priority 1 cluster: Pharma / API / Bulk Drugs / Biotech / Breweries. Only build if you can write genuinely local content.</t>
  </si>
  <si>
    <t>Sanitary electropolished pipes for dairy, food and beverage lines. ASTM A270 tubing, crevice-free joints, CIP/SIP ready, 3-A compatible. Request a quote.</t>
  </si>
  <si>
    <t>electropolished pipe supplier in hyderabad</t>
  </si>
  <si>
    <t>electropolished sanitary pipes</t>
  </si>
  <si>
    <t>electropolished hygienic pipes | sanitary EP tubing | hygienic SS pipes</t>
  </si>
  <si>
    <t>ss 316l ep pipes in hyderabad</t>
  </si>
  <si>
    <t>sanitary-hygienic-ep-pipes-sakshi-forge</t>
  </si>
  <si>
    <t>/ss-316l-electropolished-pipes-in-hyderabad/</t>
  </si>
  <si>
    <t>Resource/commercial</t>
  </si>
  <si>
    <t>electropolished pipe manufacturer in pune</t>
  </si>
  <si>
    <t>SF-015</t>
  </si>
  <si>
    <t>/electropolished-pipe-supplier-pune/</t>
  </si>
  <si>
    <t>P2</t>
  </si>
  <si>
    <t>Priority 1 cluster: Pharma / Dairy / Food &amp; Beverage / Biotech. Only build if you can write genuinely local content.</t>
  </si>
  <si>
    <t>/standards/</t>
  </si>
  <si>
    <t>Standards &amp; Specifications We Manufacture To</t>
  </si>
  <si>
    <t>electropolished pipe supplier in pune</t>
  </si>
  <si>
    <t>ASTM, ASME BPE &amp; EN Standards for EP Pipes | Sakshi Forge</t>
  </si>
  <si>
    <t>ASTM A270, A312, A269, ASME BPE and EN 10204 3.1 — the standards Sakshi Forge manufactures and certifies electropolished pipes and tubes to. Full spec.</t>
  </si>
  <si>
    <t>ss 316l ep pipes in pune</t>
  </si>
  <si>
    <t>Resource/comparison</t>
  </si>
  <si>
    <t>astm asme bpe electropolished pipe standards</t>
  </si>
  <si>
    <t>ASTM A270 | ASTM A312 | ASME BPE | EN 10204 3.1</t>
  </si>
  <si>
    <t>/ss-316l-electropolished-pipes-in-pune/</t>
  </si>
  <si>
    <t>All 5 standard pages</t>
  </si>
  <si>
    <t>Download spec sheet</t>
  </si>
  <si>
    <t>ep-pipe-standards-astm-asme-bpe</t>
  </si>
  <si>
    <t>electropolished pipe manufacturer in ahmedabad</t>
  </si>
  <si>
    <t>Comparison table of all 5 standards at top.</t>
  </si>
  <si>
    <t>/electropolished-pipe-supplier-ahmedabad/</t>
  </si>
  <si>
    <t>Priority 1 cluster: Pharma / API / Dairy / Food Processing. Only build if you can write genuinely local content.</t>
  </si>
  <si>
    <t>SF-016</t>
  </si>
  <si>
    <t>electropolished pipe supplier in ahmedabad</t>
  </si>
  <si>
    <t>Standard</t>
  </si>
  <si>
    <t>Resource/leadmagnet</t>
  </si>
  <si>
    <t>ASTM A270 Electropolished Tubes Supplier India</t>
  </si>
  <si>
    <t>ASTM A270 sanitary electropolished tubing in 304L/316L, up to 12 in OD, with SF4 EP finish and EN 10204 3.1 MTC. For dairy, food and pharma. Request a.</t>
  </si>
  <si>
    <t>ss 316l ep pipes in ahmedabad</t>
  </si>
  <si>
    <t>/ss-316l-electropolished-pipes-in-ahmedabad/</t>
  </si>
  <si>
    <t>astm a270 electropolished tubes</t>
  </si>
  <si>
    <t>Sanitary tubing for dairy &amp; food; seamless/welded austenitic; up to 12 in OD</t>
  </si>
  <si>
    <t>Article; BreadcrumbList; FAQPage</t>
  </si>
  <si>
    <t>/electropolished-pipes/, /ss-316l-electropolished-pipes/, /request-a-quote/</t>
  </si>
  <si>
    <t>'Order to this spec' RFQ block</t>
  </si>
  <si>
    <t>electropolished pipe manufacturer in bengaluru</t>
  </si>
  <si>
    <t>astm-a270-electropolished-tubes-specification</t>
  </si>
  <si>
    <t>Scope, grades, dimensional range, test requirements, ordering info table. Cite the standard accurately — engineers verify this.</t>
  </si>
  <si>
    <t>/electropolished-pipe-supplier-bengaluru/</t>
  </si>
  <si>
    <t>Resource/tool</t>
  </si>
  <si>
    <t>Priority 2 cluster: Biotech / Biopharma / Vaccines / Food Processing. Only build if you can write genuinely local content.</t>
  </si>
  <si>
    <t>SF-017</t>
  </si>
  <si>
    <t>electropolished pipe supplier in bengaluru</t>
  </si>
  <si>
    <t>ASTM A312 Electropolished Pipes Manufacturer India</t>
  </si>
  <si>
    <t>Resource/trust</t>
  </si>
  <si>
    <t>ASTM A312 TP304L/TP316L electropolished stainless steel pipes, seamless &amp; welded, NB 1/2 in to 12 in. Hydro tested, PMI verified, MTC supplied. Get pricing.</t>
  </si>
  <si>
    <t>ss 316l ep pipes in bengaluru</t>
  </si>
  <si>
    <t>astm a312 electropolished pipes</t>
  </si>
  <si>
    <t>Seamless/welded austenitic SS pipe for high-temperature &amp; corrosive service</t>
  </si>
  <si>
    <t>/ss-316l-electropolished-pipes-in-bengaluru/</t>
  </si>
  <si>
    <t>astm-a312-electropolished-pipes-specification</t>
  </si>
  <si>
    <t>electropolished pipe manufacturer in chennai</t>
  </si>
  <si>
    <t>/electropolished-pipe-supplier-chennai/</t>
  </si>
  <si>
    <t>SF-018</t>
  </si>
  <si>
    <t>Priority 2 cluster: Pharma / Dairy / Food Processing / Biotech. Only build if you can write genuinely local content.</t>
  </si>
  <si>
    <t>/astm-a269-electropolished-tubing/</t>
  </si>
  <si>
    <t>ASTM A269 Electropolished Tubing</t>
  </si>
  <si>
    <t>ASTM A269 Electropolished Tubing Supplier India</t>
  </si>
  <si>
    <t>electropolished pipe supplier in chennai</t>
  </si>
  <si>
    <t>ASTM A269 general-service stainless tubing with electropolished bore. 1/4 in ID and larger, wall 0.020 in and heavier. Instrument and process lines.</t>
  </si>
  <si>
    <t>astm a269 electropolished tubing</t>
  </si>
  <si>
    <t>General service SS tubing, 1/4 in ID and larger</t>
  </si>
  <si>
    <t>ss 316l ep pipes in chennai</t>
  </si>
  <si>
    <t>astm-a269-electropolished-tubing-specification</t>
  </si>
  <si>
    <t>/ss-316l-electropolished-pipes-in-chennai/</t>
  </si>
  <si>
    <t>electropolished pipe manufacturer in vadodara</t>
  </si>
  <si>
    <t>SF-019</t>
  </si>
  <si>
    <t>Trust/Conversion</t>
  </si>
  <si>
    <t>/electropolished-pipe-supplier-vadodara/</t>
  </si>
  <si>
    <t>ASME BPE Electropolished Tubes</t>
  </si>
  <si>
    <t>Priority 2 cluster: Pharma / API / Specialty Chemicals / Process. Only build if you can write genuinely local content.</t>
  </si>
  <si>
    <t>ASME BPE Electropolished Tubes | SF4 Ra 0.38 um</t>
  </si>
  <si>
    <t>electropolished pipe supplier in vadodara</t>
  </si>
  <si>
    <t>ASME BPE compliant electropolished tubes and fittings. SF4 = Ra max 0.38 um (15 uin), SF5, SF6 available with profilometer certification. Bioprocess ready.</t>
  </si>
  <si>
    <t>asme bpe electropolished pipes</t>
  </si>
  <si>
    <t>Bioprocessing Equipment standard; SF4 EP = Ra max 0.38 um / 15 uin</t>
  </si>
  <si>
    <t>ss 316l ep pipes in vadodara</t>
  </si>
  <si>
    <t>asme-bpe-electropolished-tubes-specification</t>
  </si>
  <si>
    <t>/ss-316l-electropolished-pipes-in-vadodara/</t>
  </si>
  <si>
    <t>QUALITY GATES</t>
  </si>
  <si>
    <t>Check</t>
  </si>
  <si>
    <t>electropolished pipe manufacturer in visakhapatnam</t>
  </si>
  <si>
    <t>Count</t>
  </si>
  <si>
    <t>Should be</t>
  </si>
  <si>
    <t>Status</t>
  </si>
  <si>
    <t>SF-020</t>
  </si>
  <si>
    <t>/electropolished-pipe-supplier-visakhapatnam/</t>
  </si>
  <si>
    <t>Title tags over 60 characters</t>
  </si>
  <si>
    <t>/en-10204-31-mtc/</t>
  </si>
  <si>
    <t>Priority 2 cluster: Pharma / API / Chemicals / Food Processing. Only build if you can write genuinely local content.</t>
  </si>
  <si>
    <t>EN 10204 3.1 MTC for EP Pipes</t>
  </si>
  <si>
    <t>EN 10204 3.1 MTC for Electropolished Pipes Explained</t>
  </si>
  <si>
    <t>electropolished pipe supplier in visakhapatnam</t>
  </si>
  <si>
    <t>What an EN 10204 3.1 mill test certificate contains, how it differs from 3.2, and what Sakshi Forge supplies with every EP pipe order. Sample MTC available.</t>
  </si>
  <si>
    <t>en 10204 3.1 mtc stainless steel</t>
  </si>
  <si>
    <t>0</t>
  </si>
  <si>
    <t>Mill test certificate validated by manufacturer's independent inspection rep</t>
  </si>
  <si>
    <t>ss 316l ep pipes in visakhapatnam</t>
  </si>
  <si>
    <t>/ss-316l-electropolished-pipes-in-visakhapatnam/</t>
  </si>
  <si>
    <t>en-10204-31-mtc-specification</t>
  </si>
  <si>
    <t>electropolished pipe manufacturer in vijayawada &amp; guntur</t>
  </si>
  <si>
    <t>SF-021</t>
  </si>
  <si>
    <t>/electropolished-pipe-supplier-vijayawada-guntur/</t>
  </si>
  <si>
    <t>Priority 3 cluster: Mango Pulp / Fruit Processing / Dairy. Only build if you can write genuinely local content.</t>
  </si>
  <si>
    <t>/industries/</t>
  </si>
  <si>
    <t>Meta descriptions over 158 characters</t>
  </si>
  <si>
    <t>Industries We Supply Electropolished Piping To</t>
  </si>
  <si>
    <t>EP Pipe Applications by Industry | Sakshi Forge</t>
  </si>
  <si>
    <t>electropolished pipe supplier in vijayawada &amp; guntur</t>
  </si>
  <si>
    <t>Electropolished pipes and fittings for pharma, dairy, food, beverage, biotech, semiconductor and brewery process lines. See the spec we supply to each.</t>
  </si>
  <si>
    <t>electropolished pipe applications industries</t>
  </si>
  <si>
    <t>pharma EP pipes | dairy EP pipes | food grade EP pipes</t>
  </si>
  <si>
    <t>ss 316l ep pipes in vijayawada &amp; guntur</t>
  </si>
  <si>
    <t>All 12 industry pages</t>
  </si>
  <si>
    <t>/ss-316l-electropolished-pipes-in-vijayawada-guntur/</t>
  </si>
  <si>
    <t>Industry spec-sheet download</t>
  </si>
  <si>
    <t>Meta descriptions under 110 characters</t>
  </si>
  <si>
    <t>ep-pipe-industries-served</t>
  </si>
  <si>
    <t>Table: Industry | Typical grade | Ra spec | Standard | Systems.</t>
  </si>
  <si>
    <t>electropolished pipe manufacturer in chittoor &amp; tirupati</t>
  </si>
  <si>
    <t>/electropolished-pipe-supplier-chittoor-tirupati/</t>
  </si>
  <si>
    <t>SF-022</t>
  </si>
  <si>
    <t>PAGE TEMPLATES — HEADING STRUCTURE &amp; MANDATORY BLOCKS</t>
  </si>
  <si>
    <t>Priority 3 cluster: Mango Pulp / Fruit Processing / Dairy / Beverages. Only build if you can write genuinely local content.</t>
  </si>
  <si>
    <t>electropolished pipe supplier in chittoor &amp; tirupati</t>
  </si>
  <si>
    <t>Electropolished Pipes for the Pharmaceutical &amp; API Industry</t>
  </si>
  <si>
    <t>Pages with no schema assigned</t>
  </si>
  <si>
    <t>Pharmaceutical Grade EP Pipes | Pharma EP Piping India</t>
  </si>
  <si>
    <t>ss 316l ep pipes in chittoor &amp; tirupati</t>
  </si>
  <si>
    <t>Pharmaceutical grade electropolished pipes for WFI, PW, CIP/SIP and API plant lines. SS 316L, ASME BPE SF4, Ra 0.38 um, EN 10204 3.1 MTC. Get a quote.</t>
  </si>
  <si>
    <t>/ss-316l-electropolished-pipes-in-chittoor-tirupati/</t>
  </si>
  <si>
    <t>Follow the skeleton for the page type in column D of the Page Master. Consistency here is what makes the silo readable to Google.</t>
  </si>
  <si>
    <t>pharma ep pipes</t>
  </si>
  <si>
    <t>electropolished pipe for pharma industry | pharma electropolished pipes</t>
  </si>
  <si>
    <t>electropolished pipe manufacturer in nashik</t>
  </si>
  <si>
    <t>Pages still awaiting content</t>
  </si>
  <si>
    <t>Article; BreadcrumbList; FAQPage; Service</t>
  </si>
  <si>
    <t>/electropolished-pipe-supplier-nashik/</t>
  </si>
  <si>
    <t>Heading Skeleton (H1 / H2 / H3)</t>
  </si>
  <si>
    <t>Priority 3 cluster: Dairy / Wineries / Beverage / Fruit Processing. Only build if you can write genuinely local content.</t>
  </si>
  <si>
    <t>/electropolished-pipes/, /ss-316l-electropolished-pipes/, relevant standard page, /request-a-quote/</t>
  </si>
  <si>
    <t>Mandatory On-Page Blocks</t>
  </si>
  <si>
    <t>Industry-specific RFQ + 'download spec sheet'</t>
  </si>
  <si>
    <t>electropolished pipe supplier in nashik</t>
  </si>
  <si>
    <t>Conversion Placement</t>
  </si>
  <si>
    <t>electropolished-pipe-pharmaceutical-industry</t>
  </si>
  <si>
    <t>Never Do This</t>
  </si>
  <si>
    <t>Systems to cover: WFI, PW, CIP/SIP, cleanroom utilities, API reactors, injectables. Include a 'typical spec we supply' table and 2 short application scenarios.</t>
  </si>
  <si>
    <t>ss 316l ep pipes in nashik</t>
  </si>
  <si>
    <t>H1: {Product} Manufacturer &amp; Supplier
H2: What is {product} / who it is for
H2: Technical Specifications  → TABLE
H2: Grades &amp; Chemical Composition  → TABLE
H2: Surface Finish &amp; Ra Options  → TABLE
H2: Standards We Certify To
H2: Industries &amp; Applications
   H3: one per top 4 industries (linked)
H2: Testing, Inspection &amp; Documentation
H2: Packing, Marking &amp; Dispatch
H2: Frequently Asked Questions (6-8 Q)
H2: Request a Quote</t>
  </si>
  <si>
    <t>/ss-316l-electropolished-pipes-in-nashik/</t>
  </si>
  <si>
    <t>0 at launch</t>
  </si>
  <si>
    <t>· Spec table: OD, WT, length, grade, Ra (um AND uin)
· Chemical composition table for 304L and 316L
· Standards list with the real scope of each
· 3+ genuine photographs of actual stock, not stock imagery
· 6-8 FAQ with FAQPage schema
· MOQ, lead time and payment terms stated plainly
· EN 10204 3.1 MTC mention with link to sample</t>
  </si>
  <si>
    <t>SF-023</t>
  </si>
  <si>
    <t>· Sticky 'Get Quote' button on scroll
· Inline RFQ after the spec table
· WhatsApp float bottom-right
· Phone number in header, click-to-call on mobile</t>
  </si>
  <si>
    <t>electropolished pipe manufacturer in kolhapur</t>
  </si>
  <si>
    <t>· Do not pad with a list of 50 city names
· Do not copy competitor spec tables verbatim
· Do not publish without real photos
· Do not gate the spec table behind a form</t>
  </si>
  <si>
    <t>/electropolished-pipe-supplier-kolhapur/</t>
  </si>
  <si>
    <t>Priority 3 cluster: Dairy / Sugar / Food Processing / Beverages. Only build if you can write genuinely local content.</t>
  </si>
  <si>
    <t>Electropolished Pipes for the Dairy &amp; Milk Processing Industry</t>
  </si>
  <si>
    <t>Dairy EP Pipes | Electropolished Pipe for Dairy Industry</t>
  </si>
  <si>
    <t>electropolished pipe supplier in kolhapur</t>
  </si>
  <si>
    <t>Electropolished pipes and fittings for milk, milk powder, cheese and whey lines. ASTM A270 sanitary tubing, CIP/SIP ready, crevice-free. Request pricing.</t>
  </si>
  <si>
    <t>ss 316l ep pipes in kolhapur</t>
  </si>
  <si>
    <t>dairy ep pipes</t>
  </si>
  <si>
    <t>H1: Electropolished Pipes for the {Industry} Industry
H2: Why {industry} plants specify electropolished pipe
H2: Systems we supply into
   H3: one per system (CIP, SIP, WFI, etc.)
H2: Typical Specification We Supply  → TABLE
H2: Applicable Standards
H2: Common failure modes we design out
H2: What we need from you to quote
H2: FAQs (5-6 Q)
H2: Request a Quote</t>
  </si>
  <si>
    <t>electropolished pipe for dairy industry | dairy electropolished pipes</t>
  </si>
  <si>
    <t>/ss-316l-electropolished-pipes-in-kolhapur/</t>
  </si>
  <si>
    <t>Assumption: 'Live' means published, indexed and confirmed in Google Search Console — not merely uploaded to the server.</t>
  </si>
  <si>
    <t>· 'Typical spec' table: grade / Ra / standard / system
· 2 short application scenarios written as a plant engineer
  would describe them
· Link to the 3 most relevant product pages
· Sector-specific spec-sheet download</t>
  </si>
  <si>
    <t>· RFQ block phrased for that sector
  ('Send your line list / P&amp;ID extract')
· Download spec sheet (email capture)</t>
  </si>
  <si>
    <t>· Do not write generic 'we are the best' copy
· Do not reuse the same 2 paragraphs across industries
· Do not claim client names you cannot evidence</t>
  </si>
  <si>
    <t>electropolished pipe manufacturer in anand</t>
  </si>
  <si>
    <t>electropolished-pipe-dairy-industry</t>
  </si>
  <si>
    <t>Systems to cover: Milk lines, milk powder, cheese, whey, ice cream, CIP/SIP. Include a 'typical spec we supply' table and 2 short application scenarios.</t>
  </si>
  <si>
    <t>H1: {Standard} — Scope, Grades and Ordering
H2: What {standard} actually covers
H2: Dimensional range  → TABLE
H2: Grades permitted
H2: Surface finish requirements  → TABLE
H2: Testing &amp; certification required
H2: How to write it on your PO
H2: {Standard} vs {nearest alternative}  → TABLE
H2: FAQs
H2: Order to this specification</t>
  </si>
  <si>
    <t>/electropolished-pipe-supplier-anand/</t>
  </si>
  <si>
    <t>· Accurate scope statement — engineers verify this
· Dimensional and finish tables in dual units
· A worked 'how to write the PO line' example
· Comparison table against the nearest standard</t>
  </si>
  <si>
    <t>· 'Order to this spec' RFQ with the standard pre-filled</t>
  </si>
  <si>
    <t>Priority 3 cluster: Dairy / Milk Processing / Milk Powder. Only build if you can write genuinely local content.</t>
  </si>
  <si>
    <t>· NEVER state a standard's scope from memory. Verify it.
  One wrong figure destroys credibility with a QA buyer.
· Do not reproduce the standard's text — summarise it</t>
  </si>
  <si>
    <t>SF-024</t>
  </si>
  <si>
    <t>electropolished pipe supplier in anand</t>
  </si>
  <si>
    <t>H1: Electropolished Pipe Supplier in {City}
H2: Industrial areas we deliver into
H2: Sectors we supply in {City}
H2: Stock, lead time and dispatch
H2: What we supply into {City}  → TABLE
H2: FAQs (3-4, locally framed)
H2: Get a quote delivered to {City}</t>
  </si>
  <si>
    <t>· NAMED industrial estates (see sheet 09)
· Realistic dispatch lead time and transport mode
· 1-2 anonymised local supply examples
· LocalBusiness schema with correct areaServed
· Minimum 500 words of genuinely city-specific text</t>
  </si>
  <si>
    <t>Electropolished Pipes for the Food Processing Industry</t>
  </si>
  <si>
    <t>· 'Dispatch to {City}' RFQ
· Click-to-call and WhatsApp</t>
  </si>
  <si>
    <t>Food Grade EP Pipes | EP Pipe for Food Processing</t>
  </si>
  <si>
    <t>· NEVER spin one template across cities
· Do not invent a local office you do not have
· Do not claim to be 'based in' a city you are not
· If you cannot write it uniquely, do not build it</t>
  </si>
  <si>
    <t>ss 316l ep pipes in anand</t>
  </si>
  <si>
    <t>City x Product / Industry x City</t>
  </si>
  <si>
    <t>Food grade electropolished stainless steel pipes for processing lines. Sanitary Ra finish, easy-clean bore, 304L &amp; 316L, ASTM A270. Enquire today.</t>
  </si>
  <si>
    <t>H1: {Product} in {City}   OR   EP Pipes for {Industry} Plants in {City}
H2: The {City} {industry} cluster and what it needs
H2: Specification we supply there  → TABLE
H2: Stock position and lead time
H2: Related products
H2: FAQs
H2: Request a quote</t>
  </si>
  <si>
    <t>/ss-316l-electropolished-pipes-in-anand/</t>
  </si>
  <si>
    <t>· Must differ from BOTH its parent city page and its
  parent product page by at least 60% of body text
· Reference the actual cluster by name
· Canonical points to itself (not the parent)</t>
  </si>
  <si>
    <t>food grade ep pipes</t>
  </si>
  <si>
    <t>· Local RFQ block</t>
  </si>
  <si>
    <t>electropolished pipe for food grade industry | food grade electropolished pipes</t>
  </si>
  <si>
    <t>· PHASE 4 ONLY — do not build these until Phase 1-3
  pages are indexed and ranking
· If in doubt, build fewer. Scaled thin pages are the
  single biggest domain-level risk in this plan</t>
  </si>
  <si>
    <t>electropolished pipe manufacturer in sangareddy</t>
  </si>
  <si>
    <t>Resource / Tool</t>
  </si>
  <si>
    <t>electropolished-pipe-food-processing-industry</t>
  </si>
  <si>
    <t>H1: {Tool or chart name}
H2: The tool / the chart itself (above the fold)
H2: How to read it
H2: Worked example
H2: Related standards
H2: FAQs
Soft CTA: 'Need this supplied? Get a quote'</t>
  </si>
  <si>
    <t>Systems to cover: Fruit pulp, sauces, ingredients, aseptic lines, hot-fill. Include a 'typical spec we supply' table and 2 short application scenarios.</t>
  </si>
  <si>
    <t>/electropolished-pipe-supplier-sangareddy/</t>
  </si>
  <si>
    <t>· A real, working data table or calculator
· Dual units throughout (um AND uin, mm AND inch)
· Downloadable PDF version
· Cite the source standard for every figure</t>
  </si>
  <si>
    <t>· Soft CTA only — do not interrupt the tool
· Catalogue download may capture email</t>
  </si>
  <si>
    <t>Priority 3 cluster: Breweries / Pharma / API. Only build if you can write genuinely local content.</t>
  </si>
  <si>
    <t>· Do not gate the tool behind a form
· Do not put ads or popups over a calculator
· Do not publish a figure you have not verified</t>
  </si>
  <si>
    <t>electropolished pipe supplier in sangareddy</t>
  </si>
  <si>
    <t>SF-025</t>
  </si>
  <si>
    <t>H1: {Article title}
H2: The short answer (first 100 words)
H2-H2-H2: the substance, one idea each
H2: Practical checklist  → TABLE or list
H2: FAQs
Author box with real name + credentials</t>
  </si>
  <si>
    <t>· Answer the question in the first 100 words —
  this is what AI assistants extract and cite
· At least one original table or diagram
· Named author with a real engineering credential
· Published and modified dates visible</t>
  </si>
  <si>
    <t>· End-of-post RFQ block
· One contextual link to a product page mid-article</t>
  </si>
  <si>
    <t>· Do not publish AI-spun filler
· Do not publish without a named human author
· Do not chase volume over accuracy</t>
  </si>
  <si>
    <t>Electropolished Pipes for the Beverage &amp; Juice Industry</t>
  </si>
  <si>
    <t>ss 316l ep pipes in sangareddy</t>
  </si>
  <si>
    <t>Trust / Conversion</t>
  </si>
  <si>
    <t>Beverage Industry EP Pipes | Juice &amp; RTD Line Piping</t>
  </si>
  <si>
    <t>H1: {Page name}
H2: The substance (certificates, process, contact)
H2: What you receive with every order
H2: Next step</t>
  </si>
  <si>
    <t>/ss-316l-electropolished-pipes-in-sangareddy/</t>
  </si>
  <si>
    <t>· Real scanned certificates with descriptive alt text
· Real factory and process photographs
· Full NAP: name, address, phone — identical everywhere
· Sample EN 10204 3.1 MTC (redacted)</t>
  </si>
  <si>
    <t>· The RFQ form is the page</t>
  </si>
  <si>
    <t>Electropolished pipes for beverage, juice and RTD lines. Hygienic bore finish, aseptic-compatible, CIP ready, 304L/316L. Request a quote from Sakshi Forge.</t>
  </si>
  <si>
    <t>· Do not use stock photography of someone else's factory
· Do not display an ISO logo without the certificate
· Do not show client logos you cannot evidence</t>
  </si>
  <si>
    <t>beverage ep pipes</t>
  </si>
  <si>
    <t>electropolished pipe for beverage industry | beverage electropolished pipes</t>
  </si>
  <si>
    <t>electropolished-pipe-beverage-industry</t>
  </si>
  <si>
    <t>Systems to cover: Juice, RTD, carbonated lines, bottling, blending. Include a 'typical spec we supply' table and 2 short application scenarios.</t>
  </si>
  <si>
    <t>electropolished pipe manufacturer in mumbai</t>
  </si>
  <si>
    <t>/electropolished-pipe-supplier-mumbai/</t>
  </si>
  <si>
    <t>Priority 1 cluster: Pharma / Chemicals / Food / Head Office. Only build if you can write genuinely local content.</t>
  </si>
  <si>
    <t>SF-026</t>
  </si>
  <si>
    <t>electropolished pipe supplier in mumbai</t>
  </si>
  <si>
    <t>Electropolished Pipes for the Mango Pulp &amp; Fruit Processing Industry</t>
  </si>
  <si>
    <t>Mango Pulp Processing EP Pipes | Fruit Processing Piping</t>
  </si>
  <si>
    <t>ss 316l ep pipes in mumbai</t>
  </si>
  <si>
    <t>Electropolished pipes for mango pulp, aseptic filling and fruit processing lines. Acid-resistant 316L, sanitary Ra finish, hot-break ready. Get a quote.</t>
  </si>
  <si>
    <t>/ss-316l-electropolished-pipes-in-mumbai/</t>
  </si>
  <si>
    <t>mango pulp ep pipes</t>
  </si>
  <si>
    <t>electropolished pipe for mango pulp industry | mango pulp electropolished pipes</t>
  </si>
  <si>
    <t>electropolished-pipe-mango-pulp-industry</t>
  </si>
  <si>
    <t>Systems to cover: Pulping, aseptic filling, evaporators, hot-break lines. Include a 'typical spec we supply' table and 2 short application scenarios.</t>
  </si>
  <si>
    <t>SF-027</t>
  </si>
  <si>
    <t>Electropolished Pipes for the Biotechnology &amp; Biopharma Industry</t>
  </si>
  <si>
    <t>Biotech EP Pipes | Bioprocess Electropolished Piping</t>
  </si>
  <si>
    <t>Electropolished tubing for bioreactors, fermentation and vaccine lines. ASME BPE SF4, orbital-weld ready, 316L, full material traceability. Enquire now.</t>
  </si>
  <si>
    <t>biotech ep pipes</t>
  </si>
  <si>
    <t>electropolished pipe for biotech industry | biotech electropolished pipes</t>
  </si>
  <si>
    <t>electropolished-pipe-biotech-industry</t>
  </si>
  <si>
    <t>Systems to cover: Bioreactors, fermentation, cell culture, vaccine lines. Include a 'typical spec we supply' table and 2 short application scenarios.</t>
  </si>
  <si>
    <t>SF-028</t>
  </si>
  <si>
    <t>Electropolished Pipes for the Semiconductor &amp; Electronics Industry</t>
  </si>
  <si>
    <t>EP Pipe for Semiconductor Industry | UHP Tubing India</t>
  </si>
  <si>
    <t>Ultra-high-purity electropolished tubing for semiconductor gas lines and UPW loops. SEMI F19-referenced finishes, cleanroom packed, capped and bagged.</t>
  </si>
  <si>
    <t>semiconductor ep pipes</t>
  </si>
  <si>
    <t>electropolished pipe for semiconductor industry | semiconductor electropolished pipes</t>
  </si>
  <si>
    <t>electropolished-pipe-semiconductor-industry</t>
  </si>
  <si>
    <t>Systems to cover: UHP gas lines, UPW loops, chemical distribution, fabs. Include a 'typical spec we supply' table and 2 short application scenarios.</t>
  </si>
  <si>
    <t>SF-029</t>
  </si>
  <si>
    <t>/industries/brewery-electropolished-pipes/</t>
  </si>
  <si>
    <t>Electropolished Pipes for the Breweries &amp; Distilleries Industry</t>
  </si>
  <si>
    <t>Brewery EP Pipes | Electropolished Piping for Breweries</t>
  </si>
  <si>
    <t>Electropolished pipes for wort, fermentation, bright beer and CIP lines. Sanitary 304L/316L, ASTM A270, hygienic joints. Quote from a Mumbai manufacturer.</t>
  </si>
  <si>
    <t>brewery ep pipes</t>
  </si>
  <si>
    <t>electropolished pipe for brewery industry | brewery electropolished pipes</t>
  </si>
  <si>
    <t>electropolished-pipe-brewery-industry</t>
  </si>
  <si>
    <t>Systems to cover: Wort, fermentation, bright beer, CIP, bottling. Include a 'typical spec we supply' table and 2 short application scenarios.</t>
  </si>
  <si>
    <t>SF-030</t>
  </si>
  <si>
    <t>/industries/cosmetics-electropolished-pipes/</t>
  </si>
  <si>
    <t>Electropolished Pipes for the Cosmetics &amp; Personal Care Industry</t>
  </si>
  <si>
    <t>Cosmetics &amp; Personal Care EP Pipes India</t>
  </si>
  <si>
    <t>Electropolished stainless pipes for cream, lotion and shampoo process lines. High-hygiene bore, easy cleaning, 316L. Request a quote from Sakshi Forge.</t>
  </si>
  <si>
    <t>cosmetics ep pipes</t>
  </si>
  <si>
    <t>electropolished pipe for cosmetics industry | cosmetics electropolished pipes</t>
  </si>
  <si>
    <t>electropolished-pipe-cosmetics-industry</t>
  </si>
  <si>
    <t>Systems to cover: Creams, lotions, shampoo, emulsification lines. Include a 'typical spec we supply' table and 2 short application scenarios.</t>
  </si>
  <si>
    <t>SF-031</t>
  </si>
  <si>
    <t>/industries/specialty-chemicals-electropolished-pipes/</t>
  </si>
  <si>
    <t>Electropolished Pipes for the Specialty Chemicals Industry</t>
  </si>
  <si>
    <t>Specialty Chemical EP Pipes | High Purity Chemical Piping</t>
  </si>
  <si>
    <t>Electropolished pipes for fine and high-purity chemical service. Corrosion-resistant 316L, low-Ra bore reduces fouling. PMI verified. Get pricing.</t>
  </si>
  <si>
    <t>chemical ep pipes</t>
  </si>
  <si>
    <t>electropolished pipe for chemical industry | chemical electropolished pipes</t>
  </si>
  <si>
    <t>electropolished-pipe-specialty-chemicals-industry</t>
  </si>
  <si>
    <t>Systems to cover: Fine chemicals, corrosive service, high-purity solvents. Include a 'typical spec we supply' table and 2 short application scenarios.</t>
  </si>
  <si>
    <t>SF-032</t>
  </si>
  <si>
    <t>/industries/high-purity-water-electropolished-pipes/</t>
  </si>
  <si>
    <t>Electropolished Pipes for the PW &amp; WFI Water Systems Industry</t>
  </si>
  <si>
    <t>PW &amp; WFI EP Pipes | High Purity Water System Piping</t>
  </si>
  <si>
    <t>Electropolished pipes for purified water and WFI distribution loops. 316L, Ra 0.38 um, sanitary drainable slopes, orbital weld ready. Enquire now.</t>
  </si>
  <si>
    <t>high purity water ep pipes</t>
  </si>
  <si>
    <t>electropolished pipe for high purity water industry | high purity water electropolished pipes</t>
  </si>
  <si>
    <t>electropolished-pipe-high-purity-water-industry</t>
  </si>
  <si>
    <t>Systems to cover: PW loops, WFI distribution, RO/DM, storage &amp; distribution. Include a 'typical spec we supply' table and 2 short application scenarios.</t>
  </si>
  <si>
    <t>SF-033</t>
  </si>
  <si>
    <t>/industries/medical-devices-electropolished-pipes/</t>
  </si>
  <si>
    <t>Electropolished Pipes for the Medical Device Manufacturing Industry</t>
  </si>
  <si>
    <t>Medical Device EP Pipes | Sterile Manufacturing Piping</t>
  </si>
  <si>
    <t>Electropolished stainless piping for sterile and medical device manufacturing utilities. 316L, low-Ra bore, full traceability. Request a quote.</t>
  </si>
  <si>
    <t>medical ep pipes</t>
  </si>
  <si>
    <t>electropolished pipe for medical industry | medical electropolished pipes</t>
  </si>
  <si>
    <t>electropolished-pipe-medical-devices-industry</t>
  </si>
  <si>
    <t>Systems to cover: Sterile manufacturing, device assembly, clean utilities. Include a 'typical spec we supply' table and 2 short application scenarios.</t>
  </si>
  <si>
    <t>SF-034</t>
  </si>
  <si>
    <t>/locations/</t>
  </si>
  <si>
    <t>Where We Supply Electropolished Pipes Across India</t>
  </si>
  <si>
    <t>EP Pipe Supplier Locations Across India | Sakshi Forge</t>
  </si>
  <si>
    <t>Sakshi Forge supplies electropolished pipes and fittings to pharma, dairy and food clusters across India — Hyderabad, Pune, Ahmedabad, Bengaluru, Chennai.</t>
  </si>
  <si>
    <t>electropolished pipe supplier india locations</t>
  </si>
  <si>
    <t>EP pipe supplier near me | electropolished pipe stockist india</t>
  </si>
  <si>
    <t>All city pages</t>
  </si>
  <si>
    <t>Map + dispatch lead-time table</t>
  </si>
  <si>
    <t>ep-pipe-supplier-locations-india</t>
  </si>
  <si>
    <t>Real value: dispatch lead time and transport route per cluster. Not a keyword list.</t>
  </si>
  <si>
    <t>SF-035</t>
  </si>
  <si>
    <t>Electropolished Pipe Supplier in Hyderabad</t>
  </si>
  <si>
    <t>EP Pipe Supplier in Hyderabad | Sakshi Forge</t>
  </si>
  <si>
    <t>Electropolished SS pipes &amp; fittings supplied to Hyderabad, Telangana — Patancheru. 316L/304L, Ra 0.38 um, MTC included. Dispatch and site delivery. Request.</t>
  </si>
  <si>
    <t>electropolished pipe manufacturer hyderabad | EP pipe stockist hyderabad | SS 316L EP pipes hyderabad</t>
  </si>
  <si>
    <t>LocalBusiness; BreadcrumbList; FAQPage</t>
  </si>
  <si>
    <t>/electropolished-pipes/, matching industry page, /request-a-quote/</t>
  </si>
  <si>
    <t>Local phone + WhatsApp + 'dispatch to Hyderabad' RFQ</t>
  </si>
  <si>
    <t>electropolished-pipe-supplier-hyderabad</t>
  </si>
  <si>
    <t>UNIQUE CONTENT REQUIRED: name the actual industrial areas (Patancheru, Sangareddy, Medchal, Genome Valley, Jeedimetla), the sectors served (Pharma / API / Bulk Drugs / Biotech / Breweries), realistic dispatch lead time, transport mode, and 1-2 anonymised local supply examples. Do NOT template-spin these.</t>
  </si>
  <si>
    <t>SF-036</t>
  </si>
  <si>
    <t>Electropolished Pipe Supplier in Pune</t>
  </si>
  <si>
    <t>EP Pipe Supplier in Pune | Sakshi Forge</t>
  </si>
  <si>
    <t>Electropolished SS pipes &amp; fittings supplied to Pune, Maharashtra — Chakan. 316L/304L, Ra 0.38 um, MTC included. Dispatch and site delivery. Request a.</t>
  </si>
  <si>
    <t>electropolished pipe manufacturer pune | EP pipe stockist pune | SS 316L EP pipes pune</t>
  </si>
  <si>
    <t>Local phone + WhatsApp + 'dispatch to Pune' RFQ</t>
  </si>
  <si>
    <t>electropolished-pipe-supplier-pune</t>
  </si>
  <si>
    <t>UNIQUE CONTENT REQUIRED: name the actual industrial areas (Chakan, Pimpri-Chinchwad, Ranjangaon, Talegaon, Baramati), the sectors served (Pharma / Dairy / Food &amp; Beverage / Biotech), realistic dispatch lead time, transport mode, and 1-2 anonymised local supply examples. Do NOT template-spin these.</t>
  </si>
  <si>
    <t>SF-037</t>
  </si>
  <si>
    <t>Electropolished Pipe Supplier in Ahmedabad</t>
  </si>
  <si>
    <t>EP Pipe Supplier in Ahmedabad | Sakshi Forge</t>
  </si>
  <si>
    <t>Electropolished SS pipes &amp; fittings supplied to Ahmedabad, Gujarat — Changodar. 316L/304L, Ra 0.38 um, MTC included. Dispatch and site delivery. Request a.</t>
  </si>
  <si>
    <t>electropolished pipe manufacturer ahmedabad | EP pipe stockist ahmedabad | SS 316L EP pipes ahmedabad</t>
  </si>
  <si>
    <t>Local phone + WhatsApp + 'dispatch to Ahmedabad' RFQ</t>
  </si>
  <si>
    <t>electropolished-pipe-supplier-ahmedabad</t>
  </si>
  <si>
    <t>UNIQUE CONTENT REQUIRED: name the actual industrial areas (Changodar, Sanand, Naroda, Odhav), the sectors served (Pharma / API / Dairy / Food Processing), realistic dispatch lead time, transport mode, and 1-2 anonymised local supply examples. Do NOT template-spin these.</t>
  </si>
  <si>
    <t>SF-038</t>
  </si>
  <si>
    <t>P3</t>
  </si>
  <si>
    <t>Electropolished Pipe Supplier in Bengaluru</t>
  </si>
  <si>
    <t>EP Pipe Supplier in Bengaluru | Sakshi Forge</t>
  </si>
  <si>
    <t>Electropolished SS pipes &amp; fittings supplied to Bengaluru, Karnataka — Bommasandra. 316L/304L, Ra 0.38 um, MTC included. Dispatch and site delivery.</t>
  </si>
  <si>
    <t>electropolished pipe manufacturer bengaluru | EP pipe stockist bengaluru | SS 316L EP pipes bengaluru</t>
  </si>
  <si>
    <t>Local phone + WhatsApp + 'dispatch to Bengaluru' RFQ</t>
  </si>
  <si>
    <t>electropolished-pipe-supplier-bengaluru</t>
  </si>
  <si>
    <t>UNIQUE CONTENT REQUIRED: name the actual industrial areas (Bommasandra, Electronic City, Hosur Road, Jigani, Peenya), the sectors served (Biotech / Biopharma / Vaccines / Food Processing), realistic dispatch lead time, transport mode, and 1-2 anonymised local supply examples. Do NOT template-spin these.</t>
  </si>
  <si>
    <t>SF-039</t>
  </si>
  <si>
    <t>Electropolished Pipe Supplier in Chennai</t>
  </si>
  <si>
    <t>EP Pipe Supplier in Chennai | Sakshi Forge</t>
  </si>
  <si>
    <t>Electropolished SS pipes &amp; fittings supplied to Chennai, Tamil Nadu — Sriperumbudur. 316L/304L, Ra 0.38 um, MTC included. Dispatch and site delivery.</t>
  </si>
  <si>
    <t>electropolished pipe manufacturer chennai | EP pipe stockist chennai | SS 316L EP pipes chennai</t>
  </si>
  <si>
    <t>Local phone + WhatsApp + 'dispatch to Chennai' RFQ</t>
  </si>
  <si>
    <t>electropolished-pipe-supplier-chennai</t>
  </si>
  <si>
    <t>UNIQUE CONTENT REQUIRED: name the actual industrial areas (Sriperumbudur, Oragadam, Ambattur, Gummidipoondi), the sectors served (Pharma / Dairy / Food Processing / Biotech), realistic dispatch lead time, transport mode, and 1-2 anonymised local supply examples. Do NOT template-spin these.</t>
  </si>
  <si>
    <t>SF-040</t>
  </si>
  <si>
    <t>Electropolished Pipe Supplier in Vadodara</t>
  </si>
  <si>
    <t>EP Pipe Supplier in Vadodara | Sakshi Forge</t>
  </si>
  <si>
    <t>Electropolished SS pipes &amp; fittings supplied to Vadodara, Gujarat — Ankleshwar. 316L/304L, Ra 0.38 um, MTC included. Dispatch and site delivery. Request a.</t>
  </si>
  <si>
    <t>INTERNAL LINKING RULES — THE SILO</t>
  </si>
  <si>
    <t>electropolished pipe manufacturer vadodara | EP pipe stockist vadodara | SS 316L EP pipes vadodara</t>
  </si>
  <si>
    <t>Local phone + WhatsApp + 'dispatch to Vadodara' RFQ</t>
  </si>
  <si>
    <t>electropolished-pipe-supplier-vadodara</t>
  </si>
  <si>
    <t>UNIQUE CONTENT REQUIRED: name the actual industrial areas (Ankleshwar, Bharuch, Vapi, Nandesari, Dahej), the sectors served (Pharma / API / Specialty Chemicals / Process), realistic dispatch lead time, transport mode, and 1-2 anonymised local supply examples. Do NOT template-spin these.</t>
  </si>
  <si>
    <t>SF-041</t>
  </si>
  <si>
    <t>This is where most of the ranking benefit sits. A page with no internal links pointing at it will not rank, however good the content is.</t>
  </si>
  <si>
    <t>Electropolished Pipe Supplier in Visakhapatnam</t>
  </si>
  <si>
    <t>EP Pipe Supplier in Visakhapatnam | Sakshi Forge</t>
  </si>
  <si>
    <t>Rule #</t>
  </si>
  <si>
    <t>SCHEMA MARKUP — COPY-PASTE JSON-LD</t>
  </si>
  <si>
    <t>From (page type)</t>
  </si>
  <si>
    <t>To (page type)</t>
  </si>
  <si>
    <t>How many links</t>
  </si>
  <si>
    <t>Anchor text pattern</t>
  </si>
  <si>
    <t>Why it matters</t>
  </si>
  <si>
    <t>Electropolished SS pipes &amp; fittings supplied to Visakhapatnam, Andhra Pradesh — Pharma City. 316L/304L, Ra 0.38 um, MTC included. Dispatch and site.</t>
  </si>
  <si>
    <t>electropolished pipe manufacturer visakhapatnam | EP pipe stockist visakhapatnam | SS 316L EP pipes visakhapatnam</t>
  </si>
  <si>
    <t>All 12 Product pages</t>
  </si>
  <si>
    <t>Local phone + WhatsApp + 'dispatch to Visakhapatnam' RFQ</t>
  </si>
  <si>
    <t>12</t>
  </si>
  <si>
    <t>electropolished-pipe-supplier-visakhapatnam</t>
  </si>
  <si>
    <t>UNIQUE CONTENT REQUIRED: name the actual industrial areas (Pharma City, Parawada, Atchutapuram, Gajuwaka), the sectors served (Pharma / API / Chemicals / Food Processing), realistic dispatch lead time, transport mode, and 1-2 anonymised local supply examples. Do NOT template-spin these.</t>
  </si>
  <si>
    <t>Exact product name — 'SS 316L Electropolished Pipes'</t>
  </si>
  <si>
    <t>Passes the most authority to the money pages. Put these in a visible product grid, not just the footer.</t>
  </si>
  <si>
    <t>Wrap each block in &lt;script type="application/ld+json"&gt; ... &lt;/script&gt;. Validate EVERY page before marking it live.</t>
  </si>
  <si>
    <t>SF-042</t>
  </si>
  <si>
    <t>Schema Type</t>
  </si>
  <si>
    <t>Top 5 Industry pages</t>
  </si>
  <si>
    <t>5</t>
  </si>
  <si>
    <t>Apply To</t>
  </si>
  <si>
    <t>'EP pipes for pharma', 'EP pipes for dairy'</t>
  </si>
  <si>
    <t>Electropolished Pipe Supplier in Vijayawada &amp; Guntur</t>
  </si>
  <si>
    <t>JSON-LD (paste in &lt;head&gt;, swap the {{ }} values)</t>
  </si>
  <si>
    <t>EP Pipe Supplier in Vijayawada &amp; Guntur | Sakshi Forge</t>
  </si>
  <si>
    <t>Signals topical breadth and routes buyers by their own vocabulary.</t>
  </si>
  <si>
    <t>Validate At</t>
  </si>
  <si>
    <t>/request-a-quote/</t>
  </si>
  <si>
    <t>1 (+ sticky)</t>
  </si>
  <si>
    <t>Electropolished SS pipes &amp; fittings supplied to Vijayawada &amp; Guntur, Andhra Pradesh — Guntur. 316L/304L, Ra 0.38 um, MTC included. Dispatch and site.</t>
  </si>
  <si>
    <t>'Request a Quote'</t>
  </si>
  <si>
    <t>Organization</t>
  </si>
  <si>
    <t>The single most important conversion path on the site.</t>
  </si>
  <si>
    <t>Product page</t>
  </si>
  <si>
    <t>Related product pages</t>
  </si>
  <si>
    <t>3-4</t>
  </si>
  <si>
    <t>Homepage only — once, sitewide</t>
  </si>
  <si>
    <t>electropolished pipe manufacturer vijayawada &amp; guntur | EP pipe stockist vijayawada &amp; guntur | SS 316L EP pipes vijayawada &amp; guntur</t>
  </si>
  <si>
    <t>The related product's exact name</t>
  </si>
  <si>
    <t>Keeps buyers inside the product silo and spreads authority across it.</t>
  </si>
  <si>
    <t>Matching standard pages</t>
  </si>
  <si>
    <t>2-3</t>
  </si>
  <si>
    <t>'ASTM A270 sanitary tubing', 'ASME BPE SF4'</t>
  </si>
  <si>
    <t>Local phone + WhatsApp + 'dispatch to Vijayawada &amp; Guntur' RFQ</t>
  </si>
  <si>
    <t>{
  "@context": "https://schema.org",
  "@type": "Organization",
  "name": "Sakshi Forge",
  "url": "https://steelmanufacturer.in/",
  "logo": "https://steelmanufacturer.in/logo.png",
  "description": "ISO 9001:2015 certified manufacturer of electropolished stainless steel pipes, tubes and fittings.",
  "address": {
    "@type": "PostalAddress",
    "streetAddress": "{{STREET}}",
    "addressLocality": "Mumbai",
    "addressRegion": "Maharashtra",
    "postalCode": "{{PIN}}",
    "addressCountry": "IN"
  },
  "contactPoint": {
    "@type": "ContactPoint",
    "telephone": "{{+91XXXXXXXXXX}}",
    "contactType": "sales",
    "areaServed": "IN",
    "availableLanguage": ["en","hi"]
  },
  "sameAs": ["{{LINKEDIN_URL}}","{{INDIAMART_URL}}"]
}</t>
  </si>
  <si>
    <t>Standards pages are where technically-qualified buyers land. Connect them.</t>
  </si>
  <si>
    <t>electropolished-pipe-supplier-vijayawada-guntur</t>
  </si>
  <si>
    <t>UNIQUE CONTENT REQUIRED: name the actual industrial areas (Guntur, Tenali, Gannavaram, Nunna), the sectors served (Mango Pulp / Fruit Processing / Dairy), realistic dispatch lead time, transport mode, and 1-2 anonymised local supply examples. Do NOT template-spin these.</t>
  </si>
  <si>
    <t>Top 3 relevant Industry pages</t>
  </si>
  <si>
    <t>3</t>
  </si>
  <si>
    <t>'used in WFI distribution loops' (contextual)</t>
  </si>
  <si>
    <t>Contextual mid-body links outperform navigation links.</t>
  </si>
  <si>
    <t>Industry page</t>
  </si>
  <si>
    <t>search.google.com/test/rich-results</t>
  </si>
  <si>
    <t>Product pages</t>
  </si>
  <si>
    <t>SF-043</t>
  </si>
  <si>
    <t>Electropolished Pipe Supplier in Chittoor &amp; Tirupati</t>
  </si>
  <si>
    <t>EP Pipe Supplier in Chittoor &amp; Tirupati | Sakshi Forge</t>
  </si>
  <si>
    <t>Electropolished SS pipes &amp; fittings supplied to Chittoor &amp; Tirupati, Andhra Pradesh — Chittoor. 316L/304L, Ra 0.38 um, MTC included. Dispatch and site.</t>
  </si>
  <si>
    <t>electropolished pipe manufacturer chittoor &amp; tirupati | EP pipe stockist chittoor &amp; tirupati | SS 316L EP pipes chittoor &amp; tirupati</t>
  </si>
  <si>
    <t>Local phone + WhatsApp + 'dispatch to Chittoor &amp; Tirupati' RFQ</t>
  </si>
  <si>
    <t>electropolished-pipe-supplier-chittoor-tirupati</t>
  </si>
  <si>
    <t>UNIQUE CONTENT REQUIRED: name the actual industrial areas (Chittoor, Tirupati, Renigunta, Gudipala), the sectors served (Mango Pulp / Fruit Processing / Dairy / Beverages), realistic dispatch lead time, transport mode, and 1-2 anonymised local supply examples. Do NOT template-spin these.</t>
  </si>
  <si>
    <t>SF-044</t>
  </si>
  <si>
    <t>Electropolished Pipe Supplier in Nashik</t>
  </si>
  <si>
    <t>EP Pipe Supplier in Nashik | Sakshi Forge</t>
  </si>
  <si>
    <t>Electropolished SS pipes &amp; fittings supplied to Nashik, Maharashtra — Sinnar. 316L/304L, Ra 0.38 um, MTC included. Dispatch and site delivery. Request a.</t>
  </si>
  <si>
    <t>electropolished pipe manufacturer nashik | EP pipe stockist nashik | SS 316L EP pipes nashik</t>
  </si>
  <si>
    <t>Local phone + WhatsApp + 'dispatch to Nashik' RFQ</t>
  </si>
  <si>
    <t>electropolished-pipe-supplier-nashik</t>
  </si>
  <si>
    <t>UNIQUE CONTENT REQUIRED: name the actual industrial areas (Sinnar, Satpur, Ambad, Igatpuri, Dindori), the sectors served (Dairy / Wineries / Beverage / Fruit Processing), realistic dispatch lead time, transport mode, and 1-2 anonymised local supply examples. Do NOT template-spin these.</t>
  </si>
  <si>
    <t>SF-045</t>
  </si>
  <si>
    <t>Electropolished Pipe Supplier in Kolhapur</t>
  </si>
  <si>
    <t>EP Pipe Supplier in Kolhapur | Sakshi Forge</t>
  </si>
  <si>
    <t>Electropolished SS pipes &amp; fittings supplied to Kolhapur, Maharashtra — Shiroli. 316L/304L, Ra 0.38 um, MTC included. Dispatch and site delivery. Request a.</t>
  </si>
  <si>
    <t>electropolished pipe manufacturer kolhapur | EP pipe stockist kolhapur | SS 316L EP pipes kolhapur</t>
  </si>
  <si>
    <t>TECHNICAL SEO CHECKLIST</t>
  </si>
  <si>
    <t>Exact product name</t>
  </si>
  <si>
    <t>Local phone + WhatsApp + 'dispatch to Kolhapur' RFQ</t>
  </si>
  <si>
    <t>Routes a problem-aware visitor to something they can actually buy.</t>
  </si>
  <si>
    <t>electropolished-pipe-supplier-kolhapur</t>
  </si>
  <si>
    <t>UNIQUE CONTENT REQUIRED: name the actual industrial areas (Shiroli, Gokul Shirgaon, Kagal, Ichalkaranji), the sectors served (Dairy / Sugar / Food Processing / Beverages), realistic dispatch lead time, transport mode, and 1-2 anonymised local supply examples. Do NOT template-spin these.</t>
  </si>
  <si>
    <t>SF-046</t>
  </si>
  <si>
    <t>Relevant Resource page</t>
  </si>
  <si>
    <t>1-2</t>
  </si>
  <si>
    <t>'ASME BPE surface finish chart'</t>
  </si>
  <si>
    <t>Electropolished Pipe Supplier in Anand</t>
  </si>
  <si>
    <t>Resource pages attract links; passing that authority into industry pages compounds it.</t>
  </si>
  <si>
    <t>EP Pipe Supplier in Anand | Sakshi Forge</t>
  </si>
  <si>
    <t>Item 1 is urgent and blocks everything else. Work in order.</t>
  </si>
  <si>
    <t>Standard page</t>
  </si>
  <si>
    <t>Electropolished SS pipes &amp; fittings supplied to Anand, Gujarat — Anand. 316L/304L, Ra 0.38 um, MTC included. Dispatch and site delivery. Request a quote.</t>
  </si>
  <si>
    <t>Converts specification research into a product enquiry.</t>
  </si>
  <si>
    <t>City page</t>
  </si>
  <si>
    <t>electropolished pipe manufacturer anand | EP pipe stockist anand | SS 316L EP pipes anand</t>
  </si>
  <si>
    <t>Matching Industry page</t>
  </si>
  <si>
    <t>Item</t>
  </si>
  <si>
    <t>What exactly to do</t>
  </si>
  <si>
    <t>'pharma EP pipe specification'</t>
  </si>
  <si>
    <t>Product</t>
  </si>
  <si>
    <t>Gives a thin page type real topical support.</t>
  </si>
  <si>
    <t>Local phone + WhatsApp + 'dispatch to Anand' RFQ</t>
  </si>
  <si>
    <t>Owner</t>
  </si>
  <si>
    <t>electropolished-pipe-supplier-anand</t>
  </si>
  <si>
    <t>UNIQUE CONTENT REQUIRED: name the actual industrial areas (Anand, Vidyanagar, Khambhat dairy belt), the sectors served (Dairy / Milk Processing / Milk Powder), realistic dispatch lead time, transport mode, and 1-2 anonymised local supply examples. Do NOT template-spin these.</t>
  </si>
  <si>
    <t>Done?</t>
  </si>
  <si>
    <t>1</t>
  </si>
  <si>
    <t>'electropolished pipes'</t>
  </si>
  <si>
    <t>Every city page must feed the main money page.</t>
  </si>
  <si>
    <t>Blog post</t>
  </si>
  <si>
    <t>SF-047</t>
  </si>
  <si>
    <t>All 12 product pages + City x Product</t>
  </si>
  <si>
    <t>Product + Resource pages</t>
  </si>
  <si>
    <t>Contextual, varied, never 'click here'</t>
  </si>
  <si>
    <t>Blog authority is only useful if it flows to commercial pages.</t>
  </si>
  <si>
    <t>Electropolished Pipe Supplier in Sangareddy</t>
  </si>
  <si>
    <t>{
  "@context": "https://schema.org",
  "@type": "Product",
  "name": "{{PRODUCT NAME}}",
  "description": "{{META DESCRIPTION FROM PAGE MASTER}}",
  "sku": "{{INTERNAL SKU}}",
  "brand": { "@type": "Brand", "name": "Sakshi Forge" },
  "manufacturer": { "@type": "Organization", "name": "Sakshi Forge" },
  "material": "Stainless Steel 316L / 304L",
  "image": ["https://steelmanufacturer.in/img/{{IMG}}.jpg"],
  "additionalProperty": [
    { "@type": "PropertyValue", "name": "Surface Finish", "value": "Ra 0.38 um (15 uin) - ASME BPE SF4" },
    { "@type": "PropertyValue", "name": "Standard", "value": "ASTM A270 / ASTM A312" },
    { "@type": "PropertyValue", "name": "Certification", "value": "EN 10204 3.1 MTC" }
  ],
  "offers": {
    "@type": "AggregateOffer",
    "priceCurrency": "INR",
    "lowPrice": "{{LOW}}",
    "highPrice": "{{HIGH}}",
    "availability": "https://schema.org/InStock",
    "seller": { "@type": "Organization", "name": "Sakshi Forge" }
  }
}</t>
  </si>
  <si>
    <t>EP Pipe Supplier in Sangareddy | Sakshi Forge</t>
  </si>
  <si>
    <t>Resource page</t>
  </si>
  <si>
    <t>INDEXATION — DO THIS TODAY</t>
  </si>
  <si>
    <t>Soft, contextual</t>
  </si>
  <si>
    <t>Electropolished SS pipes &amp; fittings supplied to Sangareddy, Telangana — Patancheru. 316L/304L, Ra 0.38 um, MTC included. Dispatch and site delivery.</t>
  </si>
  <si>
    <t>Keep it light — an over-monetised tool page stops earning links.</t>
  </si>
  <si>
    <t>All pages</t>
  </si>
  <si>
    <t>FAQPage</t>
  </si>
  <si>
    <t>Breadcrumb trail</t>
  </si>
  <si>
    <t>electropolished pipe manufacturer sangareddy | EP pipe stockist sangareddy | SS 316L EP pipes sangareddy</t>
  </si>
  <si>
    <t>1 trail</t>
  </si>
  <si>
    <t>Every product, industry, standard and city page</t>
  </si>
  <si>
    <t>Home &gt; Section &gt; Page</t>
  </si>
  <si>
    <t>Confirm steelmanufacturer.in actually resolves publicly and returns HTTP 200. Then verify the domain in Google Search Console, check for a stray 'noindex' meta tag or an X-Robots-Tag header, and check robots.txt is not blocking crawl. Research indicates the site currently returns no results in Google at all — until this is fixed, nothing else in this workbook can produce a single visitor.</t>
  </si>
  <si>
    <t>Breadcrumbs give Google an explicit hierarchy and produce richer SERP display.</t>
  </si>
  <si>
    <t>{
  "@context": "https://schema.org",
  "@type": "FAQPage",
  "mainEntity": [
    {
      "@type": "Question",
      "name": "{{QUESTION 1 - use the exact wording of the on-page heading}}",
      "acceptedAnswer": { "@type": "Answer", "text": "{{ANSWER 1 - must match the visible on-page text}}" }
    },
    {
      "@type": "Question",
      "name": "{{QUESTION 2}}",
      "acceptedAnswer": { "@type": "Answer", "text": "{{ANSWER 2}}" }
    }
  ]
}</t>
  </si>
  <si>
    <t>Local phone + WhatsApp + 'dispatch to Sangareddy' RFQ</t>
  </si>
  <si>
    <t>electropolished-pipe-supplier-sangareddy</t>
  </si>
  <si>
    <t>URGENT</t>
  </si>
  <si>
    <t>UNIQUE CONTENT REQUIRED: name the actual industrial areas (Patancheru, Bollaram, Mallepally brewery belt), the sectors served (Breweries / Pharma / API), realistic dispatch lead time, transport mode, and 1-2 anonymised local supply examples. Do NOT template-spin these.</t>
  </si>
  <si>
    <t>BreadcrumbList</t>
  </si>
  <si>
    <t>Every page except the homepage</t>
  </si>
  <si>
    <t>{
  "@context": "https://schema.org",
  "@type": "BreadcrumbList",
  "itemListElement": [
    { "@type": "ListItem", "position": 1, "name": "Home", "item": "https://steelmanufacturer.in/" },
    { "@type": "ListItem", "position": 2, "name": "{{SECTION}}", "item": "https://steelmanufacturer.in/{{section}}/" },
    { "@type": "ListItem", "position": 3, "name": "{{PAGE}}", "item": "https://steelmanufacturer.in/{{page}}/" }
  ]
}</t>
  </si>
  <si>
    <t>LocalBusiness</t>
  </si>
  <si>
    <t>Footer</t>
  </si>
  <si>
    <t>SF-048</t>
  </si>
  <si>
    <t>All 14 city pages + /contact/</t>
  </si>
  <si>
    <t>{
  "@context": "https://schema.org",
  "@type": "LocalBusiness",
  "name": "Sakshi Forge",
  "image": "https://steelmanufacturer.in/logo.png",
  "url": "https://steelmanufacturer.in/electropolished-pipe-supplier-{{city-slug}}/",
  "telephone": "{{+91XXXXXXXXXX}}",
  "priceRange": "INR",
  "address": {
    "@type": "PostalAddress",
    "streetAddress": "{{STREET}}", "addressLocality": "Mumbai",
    "addressRegion": "Maharashtra", "postalCode": "{{PIN}}", "addressCountry": "IN"
  },
  "areaServed": { "@type": "City", "name": "{{CITY NAME}}" },
  "openingHoursSpecification": {
    "@type": "OpeningHoursSpecification",
    "dayOfWeek": ["Monday","Tuesday","Wednesday","Thursday","Friday","Saturday"],
    "opens": "10:00", "closes": "19:00"
  }
}</t>
  </si>
  <si>
    <t>Electropolished Pipe Supplier in Mumbai</t>
  </si>
  <si>
    <t>EP Pipe Supplier in Mumbai | Sakshi Forge</t>
  </si>
  <si>
    <t>BlogPosting</t>
  </si>
  <si>
    <t>All 12 blog posts</t>
  </si>
  <si>
    <t>Electropolished SS pipes &amp; fittings supplied to Mumbai, Maharashtra — Tarapur. 316L/304L, Ra 0.38 um, MTC included. Dispatch and site delivery. Request a.</t>
  </si>
  <si>
    <t>{
  "@context": "https://schema.org",
  "@type": "BlogPosting",
  "headline": "{{TITLE}}",
  "description": "{{META DESCRIPTION}}",
  "author": {
    "@type": "Person",
    "name": "{{REAL ENGINEER NAME}}",
    "jobTitle": "{{e.g. Quality Head}}",
    "worksFor": { "@type": "Organization", "name": "Sakshi Forge" }
  },
  "publisher": {
    "@type": "Organization", "name": "Sakshi Forge",
    "logo": { "@type": "ImageObject", "url": "https://steelmanufacturer.in/logo.png" }
  },
  "datePublished": "{{YYYY-MM-DD}}",
  "dateModified": "{{YYYY-MM-DD}}",
  "mainEntityOfPage": "{{FULL URL}}"
}</t>
  </si>
  <si>
    <t>Hub pages only</t>
  </si>
  <si>
    <t>6-8</t>
  </si>
  <si>
    <t>robots.txt</t>
  </si>
  <si>
    <t>Section names</t>
  </si>
  <si>
    <t>electropolished pipe manufacturer mumbai | EP pipe stockist mumbai | SS 316L EP pipes mumbai</t>
  </si>
  <si>
    <t>RULES</t>
  </si>
  <si>
    <t>Do NOT stuff 50 city links into the footer. That is the pattern Google penalises.</t>
  </si>
  <si>
    <t>Serve at /robots.txt. Allow all crawlable content, disallow /wp-admin/ (except admin-ajax.php), /cart/, /?s=, and any staging path. Declare the sitemap: 'Sitemap: https://steelmanufacturer.in/sitemap_index.xml'.</t>
  </si>
  <si>
    <t>FAQ schema answers MUST match the visible text on the page word for word. Mismatched schema is a manual-action risk.</t>
  </si>
  <si>
    <t>ANCHOR TEXT RULES</t>
  </si>
  <si>
    <t>Vary the anchor text. If 40 pages all link to /electropolished-pipes/ with the identical anchor, that reads as manipulation.</t>
  </si>
  <si>
    <t>Local phone + WhatsApp + 'dispatch to Mumbai' RFQ</t>
  </si>
  <si>
    <t>electropolished-pipe-supplier-mumbai</t>
  </si>
  <si>
    <t>XML sitemap</t>
  </si>
  <si>
    <t>UNIQUE CONTENT REQUIRED: name the actual industrial areas (Tarapur, Boisar, Thane-Belapur, Ambernath, Taloja), the sectors served (Pharma / Chemicals / Food / Head Office), realistic dispatch lead time, transport mode, and 1-2 anonymised local supply examples. Do NOT template-spin these.</t>
  </si>
  <si>
    <t>Do not add AggregateRating or Review schema unless you have genuine, verifiable customer reviews. Fake review markup is penalised.</t>
  </si>
  <si>
    <t>Generate via Rank Math or Yoast. Include all 106 pages, exclude tag/author/attachment archives. Submit in Search Console and re-submit after each phase.</t>
  </si>
  <si>
    <t>Roughly: 50% exact or near-exact keyword, 30% partial or descriptive, 20% natural phrase inside a sentence.</t>
  </si>
  <si>
    <t>SF-049</t>
  </si>
  <si>
    <t>/electropolished-pipes-in-hyderabad/</t>
  </si>
  <si>
    <t>Electropolished Pipes in Hyderabad</t>
  </si>
  <si>
    <t>Multiple schema types on one page is correct — e.g. a product page carries Product + BreadcrumbList + FAQPage.</t>
  </si>
  <si>
    <t>EP Pipes in Hyderabad | Sakshi Forge</t>
  </si>
  <si>
    <t>Canonical tags</t>
  </si>
  <si>
    <t>Self-referencing canonical on every page. City x Product pages canonical to THEMSELVES, not to the parent product page — otherwise they will not rank at all.</t>
  </si>
  <si>
    <t>Never use 'click here', 'read more', or a bare URL as anchor text — they pass no topical signal.</t>
  </si>
  <si>
    <t>Electropolished Pipes supplied across Hyderabad and Patancheru. SS 316L/304L, Ra 0.38 um, EN 10204 3.1 MTC, fast dispatch. Get a quote from Sakshi Forge.</t>
  </si>
  <si>
    <t>electropolished pipes in hyderabad</t>
  </si>
  <si>
    <t>electropolished pipes supplier hyderabad | electropolished pipes manufacturer hyderabad</t>
  </si>
  <si>
    <t>Validate every single page before marking it Live. One malformed block can suppress rich results across the section.</t>
  </si>
  <si>
    <t>Product; LocalBusiness; BreadcrumbList; FAQPage</t>
  </si>
  <si>
    <t>HTTPS + redirects</t>
  </si>
  <si>
    <t>/electropolished-pipes/, /electropolished-pipe-supplier-hyderabad/, /request-a-quote/</t>
  </si>
  <si>
    <t>Force HTTPS. One canonical host (www or non-www, pick one). 301 every variant. No redirect chains longer than one hop.</t>
  </si>
  <si>
    <t>Local RFQ block</t>
  </si>
  <si>
    <t>electropolished-pipes-hyderabad</t>
  </si>
  <si>
    <t>Link from inside body copy wherever possible. A link in a paragraph counts for more than one in a nav or footer.</t>
  </si>
  <si>
    <t>BUILD ONLY IF Phase 1-3 pages are indexed and ranking. Each needs genuinely local content — local stock position, lead time, named industrial area. Thin duplicates here will hurt the whole domain.</t>
  </si>
  <si>
    <t>Keep the {{PLACEHOLDER}} values in a single config file so the developer swaps them once, not 106 times.</t>
  </si>
  <si>
    <t>SF-050</t>
  </si>
  <si>
    <t>Every page in the Page Master must have at least 3 internal links pointing TO it. Orphan pages do not get crawled properly.</t>
  </si>
  <si>
    <t>SS 316L Electropolished Pipes in Hyderabad</t>
  </si>
  <si>
    <t>316L EP Pipes in Hyderabad | Sakshi Forge</t>
  </si>
  <si>
    <t>URL structure</t>
  </si>
  <si>
    <t>Lowercase, hyphenated, no trailing index.php, consistent trailing slash. Match the Page Master column E exactly — changing a slug later costs you the ranking.</t>
  </si>
  <si>
    <t>SS 316L Electropolished Pipes supplied across Hyderabad and Patancheru. SS 316L/304L, Ra 0.38 um, EN 10204 3.1 MTC, fast dispatch. Get a quote from Sakshi.</t>
  </si>
  <si>
    <t>ss 316l electropolished pipes in hyderabad</t>
  </si>
  <si>
    <t>ss 316l electropolished pipes supplier hyderabad | ss 316l electropolished pipes manufacturer hyderabad</t>
  </si>
  <si>
    <t>Title &amp; meta implementation</t>
  </si>
  <si>
    <t>Pull the values from Page Master columns G and I literally. Do not let the SEO plugin auto-generate over them.</t>
  </si>
  <si>
    <t>/ss-316l-electropolished-pipes/, /electropolished-pipe-supplier-hyderabad/, /request-a-quote/</t>
  </si>
  <si>
    <t>ss-316l-electropolished-pipes-hyderabad</t>
  </si>
  <si>
    <t>Heading hierarchy</t>
  </si>
  <si>
    <t>Exactly one H1 per page. No skipping levels. Do not use headings for styling.</t>
  </si>
  <si>
    <t>SF-051</t>
  </si>
  <si>
    <t>/electropolished-pipe-fittings-in-hyderabad/</t>
  </si>
  <si>
    <t>Image optimisation</t>
  </si>
  <si>
    <t>Electropolished Pipe Fittings in Hyderabad</t>
  </si>
  <si>
    <t>EP Fittings in Hyderabad | Sakshi Forge</t>
  </si>
  <si>
    <t>WebP, max 1600px wide, under 150KB. Descriptive filenames from Page Master column R. Alt text describing the actual image. Lazy-load everything below the fold.</t>
  </si>
  <si>
    <t>Electropolished Pipe Fittings supplied across Hyderabad and Patancheru. SS 316L/304L, Ra 0.38 um, EN 10204 3.1 MTC, fast dispatch. Get a quote from Sakshi.</t>
  </si>
  <si>
    <t>Core Web Vitals</t>
  </si>
  <si>
    <t>electropolished pipe fittings in hyderabad</t>
  </si>
  <si>
    <t>Target LCP under 2.5s, INP under 200ms, CLS under 0.1. Defer non-critical JS, inline critical CSS, preload the hero image, set explicit width/height on every image.</t>
  </si>
  <si>
    <t>electropolished pipe fittings supplier hyderabad | electropolished pipe fittings manufacturer hyderabad</t>
  </si>
  <si>
    <t>/electropolished-pipe-fittings/, /electropolished-pipe-supplier-hyderabad/, /request-a-quote/</t>
  </si>
  <si>
    <t>electropolished-pipe-fittings-hyderabad</t>
  </si>
  <si>
    <t>Mobile</t>
  </si>
  <si>
    <t>Most Indian B2B buyers will open this on a phone. Test every template at 360px. Tap targets 48px minimum. Click-to-call in the header.</t>
  </si>
  <si>
    <t>Google Search Console</t>
  </si>
  <si>
    <t>SF-052</t>
  </si>
  <si>
    <t>Verify, submit sitemap, then check Coverage weekly. Watch for 'Discovered - currently not indexed' — that means thin content.</t>
  </si>
  <si>
    <t>Akshat</t>
  </si>
  <si>
    <t>/electropolished-pipes-in-pune/</t>
  </si>
  <si>
    <t>Electropolished Pipes in Pune</t>
  </si>
  <si>
    <t>EP Pipes in Pune | Sakshi Forge</t>
  </si>
  <si>
    <t>Google Analytics 4</t>
  </si>
  <si>
    <t>GTM is already installed. Configure GA4 events: rfq_submit, whatsapp_click, phone_click, catalogue_download. Without these you cannot tell which pages produce enquiries.</t>
  </si>
  <si>
    <t>Electropolished Pipes supplied across Pune and Chakan. SS 316L/304L, Ra 0.38 um, EN 10204 3.1 MTC, fast dispatch. Get a quote from Sakshi Forge.</t>
  </si>
  <si>
    <t>electropolished pipes in pune</t>
  </si>
  <si>
    <t>electropolished pipes supplier pune | electropolished pipes manufacturer pune</t>
  </si>
  <si>
    <t>/electropolished-pipes/, /electropolished-pipe-supplier-pune/, /request-a-quote/</t>
  </si>
  <si>
    <t>electropolished-pipes-pune</t>
  </si>
  <si>
    <t>Google Business Profile</t>
  </si>
  <si>
    <t>Create and verify. Category: 'Steel fabricator' or 'Pipe supplier'. Add real photos, hours, and the exact NAP used on the website. Ask every satisfied customer for a review.</t>
  </si>
  <si>
    <t>SF-053</t>
  </si>
  <si>
    <t>Schema validation</t>
  </si>
  <si>
    <t>Every page passes search.google.com/test/rich-results with zero errors before it is marked Live.</t>
  </si>
  <si>
    <t>SS 316L Electropolished Pipes in Pune</t>
  </si>
  <si>
    <t>316L EP Pipes in Pune | Sakshi Forge</t>
  </si>
  <si>
    <t>404 handling</t>
  </si>
  <si>
    <t>SS 316L Electropolished Pipes supplied across Pune and Chakan. SS 316L/304L, Ra 0.38 um, EN 10204 3.1 MTC, fast dispatch. Get a quote from Sakshi Forge.</t>
  </si>
  <si>
    <t>Custom 404 that links to /products/, /industries/ and search. Never soft-404.</t>
  </si>
  <si>
    <t>ss 316l electropolished pipes in pune</t>
  </si>
  <si>
    <t>ss 316l electropolished pipes supplier pune | ss 316l electropolished pipes manufacturer pune</t>
  </si>
  <si>
    <t>Pagination</t>
  </si>
  <si>
    <t>/ss-316l-electropolished-pipes/, /electropolished-pipe-supplier-pune/, /request-a-quote/</t>
  </si>
  <si>
    <t>Blog archive paginated 10 per page, each with a self-referencing canonical.</t>
  </si>
  <si>
    <t>ss-316l-electropolished-pipes-pune</t>
  </si>
  <si>
    <t>Breadcrumbs</t>
  </si>
  <si>
    <t>Visible breadcrumb trail on every page, matching the Parent column in Page Master, with BreadcrumbList schema.</t>
  </si>
  <si>
    <t>SF-054</t>
  </si>
  <si>
    <t>/electropolished-pipe-fittings-in-pune/</t>
  </si>
  <si>
    <t>Internal search</t>
  </si>
  <si>
    <t>Electropolished Pipe Fittings in Pune</t>
  </si>
  <si>
    <t>Enable site search and log queries — the terms people type are free keyword research.</t>
  </si>
  <si>
    <t>EP Fittings in Pune | Sakshi Forge</t>
  </si>
  <si>
    <t>Electropolished Pipe Fittings supplied across Pune and Chakan. SS 316L/304L, Ra 0.38 um, EN 10204 3.1 MTC, fast dispatch. Get a quote from Sakshi Forge.</t>
  </si>
  <si>
    <t>Directory listings</t>
  </si>
  <si>
    <t>electropolished pipe fittings in pune</t>
  </si>
  <si>
    <t>Complete IndiaMART, TradeIndia, ExportersIndia and Justdial profiles using the IDENTICAL business name, address and phone as the website. These dominate page 1 for the commercial terms.</t>
  </si>
  <si>
    <t>electropolished pipe fittings supplier pune | electropolished pipe fittings manufacturer pune</t>
  </si>
  <si>
    <t>Duplicate content audit</t>
  </si>
  <si>
    <t>Before Phase 4 goes live, run every new page through a similarity check against its siblings. Anything over 40% similar gets rewritten or dropped.</t>
  </si>
  <si>
    <t>/electropolished-pipe-fittings/, /electropolished-pipe-supplier-pune/, /request-a-quote/</t>
  </si>
  <si>
    <t>electropolished-pipe-fittings-pune</t>
  </si>
  <si>
    <t>SF-055</t>
  </si>
  <si>
    <t>/electropolished-pipes-in-ahmedabad/</t>
  </si>
  <si>
    <t>Electropolished Pipes in Ahmedabad</t>
  </si>
  <si>
    <t>EP Pipes in Ahmedabad | Sakshi Forge</t>
  </si>
  <si>
    <t>Electropolished Pipes supplied across Ahmedabad and Changodar. SS 316L/304L, Ra 0.38 um, EN 10204 3.1 MTC, fast dispatch. Get a quote from Sakshi Forge.</t>
  </si>
  <si>
    <t>electropolished pipes in ahmedabad</t>
  </si>
  <si>
    <t>electropolished pipes supplier ahmedabad | electropolished pipes manufacturer ahmedabad</t>
  </si>
  <si>
    <t>/electropolished-pipes/, /electropolished-pipe-supplier-ahmedabad/, /request-a-quote/</t>
  </si>
  <si>
    <t>electropolished-pipes-ahmedabad</t>
  </si>
  <si>
    <t>SF-056</t>
  </si>
  <si>
    <t>SS 316L Electropolished Pipes in Ahmedabad</t>
  </si>
  <si>
    <t>316L EP Pipes in Ahmedabad | Sakshi Forge</t>
  </si>
  <si>
    <t>SS 316L Electropolished Pipes supplied across Ahmedabad and Changodar. SS 316L/304L, Ra 0.38 um, EN 10204 3.1 MTC, fast dispatch. Get a quote from Sakshi.</t>
  </si>
  <si>
    <t>ss 316l electropolished pipes in ahmedabad</t>
  </si>
  <si>
    <t>ss 316l electropolished pipes supplier ahmedabad | ss 316l electropolished pipes manufacturer ahmedabad</t>
  </si>
  <si>
    <t>/ss-316l-electropolished-pipes/, /electropolished-pipe-supplier-ahmedabad/, /request-a-quote/</t>
  </si>
  <si>
    <t>ss-316l-electropolished-pipes-ahmedabad</t>
  </si>
  <si>
    <t>SF-057</t>
  </si>
  <si>
    <t>/electropolished-pipes-in-bengaluru/</t>
  </si>
  <si>
    <t>Electropolished Pipes in Bengaluru</t>
  </si>
  <si>
    <t>EP Pipes in Bengaluru | Sakshi Forge</t>
  </si>
  <si>
    <t>Electropolished Pipes supplied across Bengaluru and Bommasandra. SS 316L/304L, Ra 0.38 um, EN 10204 3.1 MTC, fast dispatch. Get a quote from Sakshi Forge.</t>
  </si>
  <si>
    <t>electropolished pipes in bengaluru</t>
  </si>
  <si>
    <t>electropolished pipes supplier bengaluru | electropolished pipes manufacturer bengaluru</t>
  </si>
  <si>
    <t>/electropolished-pipes/, /electropolished-pipe-supplier-bengaluru/, /request-a-quote/</t>
  </si>
  <si>
    <t>electropolished-pipes-bengaluru</t>
  </si>
  <si>
    <t>SF-058</t>
  </si>
  <si>
    <t>/ultra-high-purity-ep-tubes-in-bengaluru/</t>
  </si>
  <si>
    <t>Ultra High Purity EP Tubes in Bengaluru</t>
  </si>
  <si>
    <t>UHP EP Tubes in Bengaluru | Sakshi Forge</t>
  </si>
  <si>
    <t>Ultra High Purity EP Tubes supplied across Bengaluru and Bommasandra. SS 316L/304L, Ra 0.38 um, EN 10204 3.1 MTC, fast dispatch. Get a quote from Sakshi.</t>
  </si>
  <si>
    <t>ultra high purity ep tubes in bengaluru</t>
  </si>
  <si>
    <t>ultra high purity ep tubes supplier bengaluru | ultra high purity ep tubes manufacturer bengaluru</t>
  </si>
  <si>
    <t>/ultra-high-purity-ep-tubes/, /electropolished-pipe-supplier-bengaluru/, /request-a-quote/</t>
  </si>
  <si>
    <t>ultra-high-purity-ep-tubes-bengaluru</t>
  </si>
  <si>
    <t>SF-059</t>
  </si>
  <si>
    <t>/electropolished-pipes-in-chennai/</t>
  </si>
  <si>
    <t>Electropolished Pipes in Chennai</t>
  </si>
  <si>
    <t>EP Pipes in Chennai | Sakshi Forge</t>
  </si>
  <si>
    <t>Electropolished Pipes supplied across Chennai and Sriperumbudur. SS 316L/304L, Ra 0.38 um, EN 10204 3.1 MTC, fast dispatch. Get a quote from Sakshi Forge.</t>
  </si>
  <si>
    <t>electropolished pipes in chennai</t>
  </si>
  <si>
    <t>electropolished pipes supplier chennai | electropolished pipes manufacturer chennai</t>
  </si>
  <si>
    <t>/electropolished-pipes/, /electropolished-pipe-supplier-chennai/, /request-a-quote/</t>
  </si>
  <si>
    <t>electropolished-pipes-chennai</t>
  </si>
  <si>
    <t>SF-060</t>
  </si>
  <si>
    <t>/electropolished-pipes-in-vadodara/</t>
  </si>
  <si>
    <t>Electropolished Pipes in Vadodara</t>
  </si>
  <si>
    <t>EP Pipes in Vadodara | Sakshi Forge</t>
  </si>
  <si>
    <t>Electropolished Pipes supplied across Vadodara and Ankleshwar. SS 316L/304L, Ra 0.38 um, EN 10204 3.1 MTC, fast dispatch. Get a quote from Sakshi Forge.</t>
  </si>
  <si>
    <t>electropolished pipes in vadodara</t>
  </si>
  <si>
    <t>electropolished pipes supplier vadodara | electropolished pipes manufacturer vadodara</t>
  </si>
  <si>
    <t>/electropolished-pipes/, /electropolished-pipe-supplier-vadodara/, /request-a-quote/</t>
  </si>
  <si>
    <t>electropolished-pipes-vadodara</t>
  </si>
  <si>
    <t>SF-061</t>
  </si>
  <si>
    <t>/electropolished-pipes-in-visakhapatnam/</t>
  </si>
  <si>
    <t>Electropolished Pipes in Visakhapatnam</t>
  </si>
  <si>
    <t>EP Pipes in Visakhapatnam | Sakshi Forge</t>
  </si>
  <si>
    <t>Electropolished Pipes supplied across Visakhapatnam and Pharma City. SS 316L/304L, Ra 0.38 um, EN 10204 3.1 MTC, fast dispatch. Get a quote from Sakshi.</t>
  </si>
  <si>
    <t>electropolished pipes in visakhapatnam</t>
  </si>
  <si>
    <t>electropolished pipes supplier visakhapatnam | electropolished pipes manufacturer visakhapatnam</t>
  </si>
  <si>
    <t>/electropolished-pipes/, /electropolished-pipe-supplier-visakhapatnam/, /request-a-quote/</t>
  </si>
  <si>
    <t>electropolished-pipes-visakhapatnam</t>
  </si>
  <si>
    <t>SF-062</t>
  </si>
  <si>
    <t>/electropolished-pipes-in-mumbai/</t>
  </si>
  <si>
    <t>Electropolished Pipes in Mumbai</t>
  </si>
  <si>
    <t>EP Pipes in Mumbai | Sakshi Forge</t>
  </si>
  <si>
    <t>Electropolished Pipes supplied across Mumbai and Tarapur. SS 316L/304L, Ra 0.38 um, EN 10204 3.1 MTC, fast dispatch. Get a quote from Sakshi Forge.</t>
  </si>
  <si>
    <t>electropolished pipes in mumbai</t>
  </si>
  <si>
    <t>electropolished pipes supplier mumbai | electropolished pipes manufacturer mumbai</t>
  </si>
  <si>
    <t>/electropolished-pipes/, /electropolished-pipe-supplier-mumbai/, /request-a-quote/</t>
  </si>
  <si>
    <t>electropolished-pipes-mumbai</t>
  </si>
  <si>
    <t>SF-063</t>
  </si>
  <si>
    <t>SS 316L Electropolished Pipes in Mumbai</t>
  </si>
  <si>
    <t>316L EP Pipes in Mumbai | Sakshi Forge</t>
  </si>
  <si>
    <t>SS 316L Electropolished Pipes supplied across Mumbai and Tarapur. SS 316L/304L, Ra 0.38 um, EN 10204 3.1 MTC, fast dispatch. Get a quote from Sakshi Forge.</t>
  </si>
  <si>
    <t>ss 316l electropolished pipes in mumbai</t>
  </si>
  <si>
    <t>ss 316l electropolished pipes supplier mumbai | ss 316l electropolished pipes manufacturer mumbai</t>
  </si>
  <si>
    <t>/ss-316l-electropolished-pipes/, /electropolished-pipe-supplier-mumbai/, /request-a-quote/</t>
  </si>
  <si>
    <t>ss-316l-electropolished-pipes-mumbai</t>
  </si>
  <si>
    <t>SF-064</t>
  </si>
  <si>
    <t>/pharmaceutical-electropolished-pipes-hyderabad/</t>
  </si>
  <si>
    <t>Electropolished Pipes for Pharmaceutical &amp; API Plants in Hyderabad</t>
  </si>
  <si>
    <t>Pharma EP Pipes in Hyderabad | Sakshi Forge</t>
  </si>
  <si>
    <t>Electropolished pipes and fittings for pharmaceutical &amp; api plants in Hyderabad. WFI. 316L/304L, sanitary Ra finish, MTC supplied. Request a quote.</t>
  </si>
  <si>
    <t>pharma ep pipes hyderabad</t>
  </si>
  <si>
    <t>electropolished pipe for pharma industry in hyderabad</t>
  </si>
  <si>
    <t>Service; LocalBusiness; BreadcrumbList; FAQPage</t>
  </si>
  <si>
    <t>/industries/pharmaceutical-electropolished-pipes/, /electropolished-pipe-supplier-hyderabad/</t>
  </si>
  <si>
    <t>Sector RFQ + spec sheet</t>
  </si>
  <si>
    <t>pharmaceutical-ep-pipes-hyderabad</t>
  </si>
  <si>
    <t>Highest-intent combo pages. Reference the real cluster (Patancheru, Sangareddy, Medchal, Genome Valley, Jeedimetla) and the systems (WFI, PW, CIP/SIP, cleanroom utilities, API reactors, injectables).</t>
  </si>
  <si>
    <t>SF-065</t>
  </si>
  <si>
    <t>/pharmaceutical-electropolished-pipes-ahmedabad/</t>
  </si>
  <si>
    <t>Electropolished Pipes for Pharmaceutical &amp; API Plants in Ahmedabad</t>
  </si>
  <si>
    <t>Pharma EP Pipes in Ahmedabad | Sakshi Forge</t>
  </si>
  <si>
    <t>Electropolished pipes and fittings for pharmaceutical &amp; api plants in Ahmedabad. WFI. 316L/304L, sanitary Ra finish, MTC supplied. Request a quote.</t>
  </si>
  <si>
    <t>pharma ep pipes ahmedabad</t>
  </si>
  <si>
    <t>electropolished pipe for pharma industry in ahmedabad</t>
  </si>
  <si>
    <t>/industries/pharmaceutical-electropolished-pipes/, /electropolished-pipe-supplier-ahmedabad/</t>
  </si>
  <si>
    <t>pharmaceutical-ep-pipes-ahmedabad</t>
  </si>
  <si>
    <t>Highest-intent combo pages. Reference the real cluster (Changodar, Sanand, Naroda, Odhav) and the systems (WFI, PW, CIP/SIP, cleanroom utilities, API reactors, injectables).</t>
  </si>
  <si>
    <t>BUILD PHASES &amp; SEQUENCING</t>
  </si>
  <si>
    <t>SF-066</t>
  </si>
  <si>
    <t>/pharmaceutical-electropolished-pipes-pune/</t>
  </si>
  <si>
    <t>Electropolished Pipes for Pharmaceutical &amp; API Plants in Pune</t>
  </si>
  <si>
    <t>Pharma EP Pipes in Pune | Sakshi Forge</t>
  </si>
  <si>
    <t>Electropolished pipes and fittings for pharmaceutical &amp; api plants in Pune. WFI. 316L/304L, sanitary Ra finish, MTC supplied. Request a quote.</t>
  </si>
  <si>
    <t>Sequence matters more than speed. Each phase has a gate — meeting it is what stops the site being penalised later.</t>
  </si>
  <si>
    <t>pharma ep pipes pune</t>
  </si>
  <si>
    <t>electropolished pipe for pharma industry in pune</t>
  </si>
  <si>
    <t>Weeks</t>
  </si>
  <si>
    <t>/industries/pharmaceutical-electropolished-pipes/, /electropolished-pipe-supplier-pune/</t>
  </si>
  <si>
    <t>What gets built</t>
  </si>
  <si>
    <t>pharmaceutical-ep-pipes-pune</t>
  </si>
  <si>
    <t>Effort</t>
  </si>
  <si>
    <t>Highest-intent combo pages. Reference the real cluster (Chakan, Pimpri-Chinchwad, Ranjangaon, Talegaon, Baramati) and the systems (WFI, PW, CIP/SIP, cleanroom utilities, API reactors, injectables).</t>
  </si>
  <si>
    <t>Impact</t>
  </si>
  <si>
    <t>Gate — do not proceed until</t>
  </si>
  <si>
    <t>Phase 0 — Unblock</t>
  </si>
  <si>
    <t>Week 1</t>
  </si>
  <si>
    <t>SF-067</t>
  </si>
  <si>
    <t>Fix indexation. Search Console verified, sitemap submitted, robots.txt correct, site confirmed returning HTTP 200 and appearing for a 'site:' query.</t>
  </si>
  <si>
    <t>/biotech-electropolished-pipes-bengaluru/</t>
  </si>
  <si>
    <t>Low</t>
  </si>
  <si>
    <t>Electropolished Pipes for Biotechnology &amp; Biopharma Plants in Bengaluru</t>
  </si>
  <si>
    <t>Critical</t>
  </si>
  <si>
    <t>Biotech EP Pipes in Bengaluru | Sakshi Forge</t>
  </si>
  <si>
    <t>A 'site:steelmanufacturer.in' search in Google returns results. Nothing else starts before this.</t>
  </si>
  <si>
    <t>Electropolished pipes and fittings for biotechnology &amp; biopharma plants in Bengaluru. Bioreactors. 316L/304L, sanitary Ra finish, MTC supplied. Request a.</t>
  </si>
  <si>
    <t>biotech ep pipes bengaluru</t>
  </si>
  <si>
    <t>electropolished pipe for biotech industry in bengaluru</t>
  </si>
  <si>
    <t>/industries/biotech-electropolished-pipes/, /electropolished-pipe-supplier-bengaluru/</t>
  </si>
  <si>
    <t>Weeks 2-6</t>
  </si>
  <si>
    <t>biotech-ep-pipes-bengaluru</t>
  </si>
  <si>
    <t>Highest-intent combo pages. Reference the real cluster (Bommasandra, Electronic City, Hosur Road, Jigani, Peenya) and the systems (Bioreactors, fermentation, cell culture, vaccine lines).</t>
  </si>
  <si>
    <t>SF-068</t>
  </si>
  <si>
    <t>/dairy-electropolished-pipes-pune/</t>
  </si>
  <si>
    <t>Electropolished Pipes for Dairy &amp; Milk Processing Plants in Pune</t>
  </si>
  <si>
    <t>Dairy EP Pipes in Pune | Sakshi Forge</t>
  </si>
  <si>
    <t>Electropolished pipes and fittings for dairy &amp; milk processing plants in Pune. Milk lines. 316L/304L, sanitary Ra finish, MTC supplied. Request a quote.</t>
  </si>
  <si>
    <t>dairy ep pipes pune</t>
  </si>
  <si>
    <t>electropolished pipe for dairy industry in pune</t>
  </si>
  <si>
    <t>/industries/dairy-electropolished-pipes/, /electropolished-pipe-supplier-pune/</t>
  </si>
  <si>
    <t>dairy-ep-pipes-pune</t>
  </si>
  <si>
    <t>Highest-intent combo pages. Reference the real cluster (Chakan, Pimpri-Chinchwad, Ranjangaon, Talegaon, Baramati) and the systems (Milk lines, milk powder, cheese, whey, ice cream, CIP/SIP).</t>
  </si>
  <si>
    <t>Homepage, all 12 product money pages, /products/ hub, and the 4 conversion-critical trust pages (quote, contact, quality, about). These are the pages that make money.</t>
  </si>
  <si>
    <t>High</t>
  </si>
  <si>
    <t>Very High</t>
  </si>
  <si>
    <t>All Phase 1 pages indexed in Search Console AND schema validating clean.</t>
  </si>
  <si>
    <t>SF-069</t>
  </si>
  <si>
    <t>Weeks 6-12</t>
  </si>
  <si>
    <t>/dairy-electropolished-pipes-anand/</t>
  </si>
  <si>
    <t>Electropolished Pipes for Dairy &amp; Milk Processing Plants in Anand</t>
  </si>
  <si>
    <t>Dairy EP Pipes in Anand | Sakshi Forge</t>
  </si>
  <si>
    <t>Electropolished pipes and fittings for dairy &amp; milk processing plants in Anand. Milk lines. 316L/304L, sanitary Ra finish, MTC supplied. Request a quote.</t>
  </si>
  <si>
    <t>All 12 industry pages, 5 standard pages, the /industries/ and /standards/ hubs, plus remaining trust pages. This is where the fastest ranking wins are — competitors cover industry intent weakly.</t>
  </si>
  <si>
    <t>dairy ep pipes anand</t>
  </si>
  <si>
    <t>At least 5 Phase 1-2 pages showing impressions in Search Console.</t>
  </si>
  <si>
    <t>electropolished pipe for dairy industry in anand</t>
  </si>
  <si>
    <t>CITY &amp; INDUSTRY REFERENCE DATA</t>
  </si>
  <si>
    <t>Weeks 12-20</t>
  </si>
  <si>
    <t>/industries/dairy-electropolished-pipes/, /electropolished-pipe-supplier-anand/</t>
  </si>
  <si>
    <t>dairy-ep-pipes-anand</t>
  </si>
  <si>
    <t>Highest-intent combo pages. Reference the real cluster (Anand, Vidyanagar, Khambhat dairy belt) and the systems (Milk lines, milk powder, cheese, whey, ice cream, CIP/SIP).</t>
  </si>
  <si>
    <t>14 city pages, /locations/ hub, and the resource/tool pages (Ra converter, ASME BPE chart, size chart, weight calculator, catalogue download).</t>
  </si>
  <si>
    <t>Medium</t>
  </si>
  <si>
    <t>Every city page has genuinely unique content and passes a similarity check against its siblings.</t>
  </si>
  <si>
    <t>Phase 4 — Expansion</t>
  </si>
  <si>
    <t>SF-070</t>
  </si>
  <si>
    <t>Month 5+</t>
  </si>
  <si>
    <t>/dairy-electropolished-pipes-kolhapur/</t>
  </si>
  <si>
    <t>Raw material for writing unique city pages. Naming real industrial estates is what separates a useful local page from a doorway page.</t>
  </si>
  <si>
    <t>Electropolished Pipes for Dairy &amp; Milk Processing Plants in Kolhapur</t>
  </si>
  <si>
    <t>Dairy EP Pipes in Kolhapur | Sakshi Forge</t>
  </si>
  <si>
    <t>27 City x Product and Industry x City combination pages, 12 blog posts, and the remaining comparison resources. GATED — build only what you can write uniquely.</t>
  </si>
  <si>
    <t>Electropolished pipes and fittings for dairy &amp; milk processing plants in Kolhapur. Milk lines. 316L/304L, sanitary Ra finish, MTC supplied. Request a quote.</t>
  </si>
  <si>
    <t>Phase 1-3 pages are indexed AND ranking. If they are not, more pages will not help — the problem is authority, not volume.</t>
  </si>
  <si>
    <t>dairy ep pipes kolhapur</t>
  </si>
  <si>
    <t>City / Cluster</t>
  </si>
  <si>
    <t>electropolished pipe for dairy industry in kolhapur</t>
  </si>
  <si>
    <t>REALISTIC EXPECTATIONS</t>
  </si>
  <si>
    <t>State</t>
  </si>
  <si>
    <t>Named industrial areas (use these in the copy)</t>
  </si>
  <si>
    <t>/industries/dairy-electropolished-pipes/, /electropolished-pipe-supplier-kolhapur/</t>
  </si>
  <si>
    <t>A brand-new or newly-indexed domain does not rank for 'electropolished pipe manufacturer india' quickly. Expect 6-12 months for the head terms.</t>
  </si>
  <si>
    <t>Sectors present</t>
  </si>
  <si>
    <t>dairy-ep-pipes-kolhapur</t>
  </si>
  <si>
    <t>Page URL</t>
  </si>
  <si>
    <t>Highest-intent combo pages. Reference the real cluster (Shiroli, Gokul Shirgaon, Kagal, Ichalkaranji) and the systems (Milk lines, milk powder, cheese, whey, ice cream, CIP/SIP).</t>
  </si>
  <si>
    <t>Hyderabad</t>
  </si>
  <si>
    <t>The first traffic will come from long-tail and industry terms — 'electropolished pipe for mango pulp industry', 'SIP line EP pipes' — within 2-4 months.</t>
  </si>
  <si>
    <t>Telangana</t>
  </si>
  <si>
    <t>SF-071</t>
  </si>
  <si>
    <t>Patancheru, Sangareddy, Medchal, Genome Valley, Jeedimetla</t>
  </si>
  <si>
    <t>/mango-pulp-electropolished-pipes-chittoor-tirupati/</t>
  </si>
  <si>
    <t>Pharma / API / Bulk Drugs / Biotech / Breweries</t>
  </si>
  <si>
    <t>Electropolished Pipes for Mango Pulp &amp; Fruit Processing Plants in Chittoor &amp; Tirupati</t>
  </si>
  <si>
    <t>Directory listings (IndiaMART, TradeIndia) will produce enquiries faster than the website will. Run both in parallel.</t>
  </si>
  <si>
    <t>Mango Pulp EP Pipes in Chittoor &amp; Tirupati | Sakshi Forge</t>
  </si>
  <si>
    <t>Electropolished pipes and fittings for mango pulp &amp; fruit processing plants in Chittoor &amp; Tirupati. Pulping. 316L/304L, sanitary Ra finish, MTC supplied.</t>
  </si>
  <si>
    <t>mango pulp ep pipes chittoor &amp; tirupati</t>
  </si>
  <si>
    <t>electropolished pipe for mango pulp industry in chittoor &amp; tirupati</t>
  </si>
  <si>
    <t>Judge progress on impressions in Search Console before rankings, and rankings before enquiries. Each leads the next by roughly a month.</t>
  </si>
  <si>
    <t>/industries/mango-pulp-electropolished-pipes/, /electropolished-pipe-supplier-chittoor-tirupati/</t>
  </si>
  <si>
    <t>mango-pulp-ep-pipes-chittoor-tirupati</t>
  </si>
  <si>
    <t>Highest-intent combo pages. Reference the real cluster (Chittoor, Tirupati, Renigunta, Gudipala) and the systems (Pulping, aseptic filling, evaporators, hot-break lines).</t>
  </si>
  <si>
    <t>Pune</t>
  </si>
  <si>
    <t>If nothing is indexed after 4 weeks of Phase 1 being live, stop building and diagnose. More pages on an unindexed site is wasted effort.</t>
  </si>
  <si>
    <t>SF-072</t>
  </si>
  <si>
    <t>Maharashtra</t>
  </si>
  <si>
    <t>/mango-pulp-electropolished-pipes-vijayawada-guntur/</t>
  </si>
  <si>
    <t>Electropolished Pipes for Mango Pulp &amp; Fruit Processing Plants in Vijayawada &amp; Guntur</t>
  </si>
  <si>
    <t>Mango Pulp EP Pipes in Vijayawada &amp; Guntur | Sakshi Forge</t>
  </si>
  <si>
    <t>Chakan, Pimpri-Chinchwad, Ranjangaon, Talegaon, Baramati</t>
  </si>
  <si>
    <t>Pharma / Dairy / Food &amp; Beverage / Biotech</t>
  </si>
  <si>
    <t>Electropolished pipes and fittings for mango pulp &amp; fruit processing plants in Vijayawada &amp; Guntur. Pulping. 316L/304L, sanitary Ra finish, MTC supplied.</t>
  </si>
  <si>
    <t>mango pulp ep pipes vijayawada &amp; guntur</t>
  </si>
  <si>
    <t>COMPETITOR BENCHMARK &amp; GAP EXPLOITATION</t>
  </si>
  <si>
    <t>electropolished pipe for mango pulp industry in vijayawada &amp; guntur</t>
  </si>
  <si>
    <t>/industries/mango-pulp-electropolished-pipes/, /electropolished-pipe-supplier-vijayawada-guntur/</t>
  </si>
  <si>
    <t>mango-pulp-ep-pipes-vijayawada-guntur</t>
  </si>
  <si>
    <t>Highest-intent combo pages. Reference the real cluster (Guntur, Tenali, Gannavaram, Nunna) and the systems (Pulping, aseptic filling, evaporators, hot-break lines).</t>
  </si>
  <si>
    <t>Ahmedabad</t>
  </si>
  <si>
    <t>Gujarat</t>
  </si>
  <si>
    <t>Changodar, Sanand, Naroda, Odhav</t>
  </si>
  <si>
    <t>Pharma / API / Dairy / Food Processing</t>
  </si>
  <si>
    <t>SF-073</t>
  </si>
  <si>
    <t>Findings from the site teardown. The right-hand column is the actionable part.</t>
  </si>
  <si>
    <t>Mumbai</t>
  </si>
  <si>
    <t>/brewery-electropolished-pipes-sangareddy/</t>
  </si>
  <si>
    <t>Electropolished Pipes for Breweries &amp; Distilleries Plants in Sangareddy</t>
  </si>
  <si>
    <t>Tarapur, Boisar, Thane-Belapur, Ambernath, Taloja</t>
  </si>
  <si>
    <t>Brewery EP Pipes in Sangareddy | Sakshi Forge</t>
  </si>
  <si>
    <t>Pharma / Chemicals / Food / Head Office</t>
  </si>
  <si>
    <t>Dimension</t>
  </si>
  <si>
    <t>Electropolished pipes and fittings for breweries &amp; distilleries plants in Sangareddy. Wort. 316L/304L, sanitary Ra finish, MTC supplied. Request a quote.</t>
  </si>
  <si>
    <t>cerapuresteel.com</t>
  </si>
  <si>
    <t>Bengaluru</t>
  </si>
  <si>
    <t>Karnataka</t>
  </si>
  <si>
    <t>mahadevdairypharmafitting.com</t>
  </si>
  <si>
    <t>brewery ep pipes sangareddy</t>
  </si>
  <si>
    <t>Bommasandra, Electronic City, Hosur Road, Jigani, Peenya</t>
  </si>
  <si>
    <t>electropolished pipe for brewery industry in sangareddy</t>
  </si>
  <si>
    <t>What Sakshi Forge should do</t>
  </si>
  <si>
    <t>Biotech / Biopharma / Vaccines / Food Processing</t>
  </si>
  <si>
    <t>/industries/brewery-electropolished-pipes/, /electropolished-pipe-supplier-sangareddy/</t>
  </si>
  <si>
    <t>Platform</t>
  </si>
  <si>
    <t>brewery-ep-pipes-sangareddy</t>
  </si>
  <si>
    <t>Chennai</t>
  </si>
  <si>
    <t>Highest-intent combo pages. Reference the real cluster (Patancheru, Bollaram, Mallepally brewery belt) and the systems (Wort, fermentation, bright beer, CIP, bottling).</t>
  </si>
  <si>
    <t>Tamil Nadu</t>
  </si>
  <si>
    <t>Sriperumbudur, Oragadam, Ambattur, Gummidipoondi</t>
  </si>
  <si>
    <t>Pharma / Dairy / Food Processing / Biotech</t>
  </si>
  <si>
    <t>WordPress + Elementor 4.1.4 + GTM. Actively maintained (modified Aug 2026).</t>
  </si>
  <si>
    <t>SF-074</t>
  </si>
  <si>
    <t>WordPress + Slider Revolution. Last homepage update Jul 2025. SEO outsourced.</t>
  </si>
  <si>
    <t>Vadodara</t>
  </si>
  <si>
    <t>/food-processing-electropolished-pipes-nashik/</t>
  </si>
  <si>
    <t>Ankleshwar, Bharuch, Vapi, Nandesari, Dahej</t>
  </si>
  <si>
    <t>Electropolished Pipes for Food Processing Plants in Nashik</t>
  </si>
  <si>
    <t>WordPress + Rank Math. Keep it fast and simple — page speed is a ranking factor both are weak on.</t>
  </si>
  <si>
    <t>Pharma / API / Specialty Chemicals / Process</t>
  </si>
  <si>
    <t>Food Grade EP Pipes in Nashik | Sakshi Forge</t>
  </si>
  <si>
    <t>Electropolished pipes and fittings for food processing plants in Nashik. Fruit pulp. 316L/304L, sanitary Ra finish, MTC supplied. Request a quote.</t>
  </si>
  <si>
    <t>Visakhapatnam</t>
  </si>
  <si>
    <t>Andhra Pradesh</t>
  </si>
  <si>
    <t>food grade ep pipes nashik</t>
  </si>
  <si>
    <t>Pharma City, Parawada, Atchutapuram, Gajuwaka</t>
  </si>
  <si>
    <t>electropolished pipe for food grade industry in nashik</t>
  </si>
  <si>
    <t>Pharma / API / Chemicals / Food Processing</t>
  </si>
  <si>
    <t>/industries/food-processing-electropolished-pipes/, /electropolished-pipe-supplier-nashik/</t>
  </si>
  <si>
    <t>food-processing-ep-pipes-nashik</t>
  </si>
  <si>
    <t>Vijayawada &amp; Guntur</t>
  </si>
  <si>
    <t>Highest-intent combo pages. Reference the real cluster (Sinnar, Satpur, Ambad, Igatpuri, Dindori) and the systems (Fruit pulp, sauces, ingredients, aseptic lines, hot-fill).</t>
  </si>
  <si>
    <t>Approx. page count</t>
  </si>
  <si>
    <t>Guntur, Tenali, Gannavaram, Nunna</t>
  </si>
  <si>
    <t>Mango Pulp / Fruit Processing / Dairy</t>
  </si>
  <si>
    <t>~40-55 pages. Focused.</t>
  </si>
  <si>
    <t>SF-075</t>
  </si>
  <si>
    <t>~100+ pages. Sprawling and diluted.</t>
  </si>
  <si>
    <t>Chittoor &amp; Tirupati</t>
  </si>
  <si>
    <t>106 planned, but tiered. Depth on 30 pages beats thinness on 100.</t>
  </si>
  <si>
    <t>/semiconductor-electropolished-pipes-bengaluru/</t>
  </si>
  <si>
    <t>Electropolished Pipes for Semiconductor &amp; Electronics Plants in Bengaluru</t>
  </si>
  <si>
    <t>Chittoor, Tirupati, Renigunta, Gudipala</t>
  </si>
  <si>
    <t>Best asset</t>
  </si>
  <si>
    <t>Semiconductor EP Pipes in Bengaluru | Sakshi Forge</t>
  </si>
  <si>
    <t>Mango Pulp / Fruit Processing / Dairy / Beverages</t>
  </si>
  <si>
    <t>The /electropolished-tubes/ page — real spec tables, chemical composition, 5-question FAQ, ~1,500 words.</t>
  </si>
  <si>
    <t>A wall of real client logos (Amul, Cipla, Biocon, Nestle) and mill logos. Strong trust signal.</t>
  </si>
  <si>
    <t>Electropolished pipes and fittings for semiconductor &amp; electronics plants in Bengaluru. UHP gas lines. 316L/304L, sanitary Ra finish, MTC supplied. Request.</t>
  </si>
  <si>
    <t>Copy CeraPure's PAGE TEMPLATE quality and Mahadev's TRUST WALL approach. Both are replicable.</t>
  </si>
  <si>
    <t>Nashik</t>
  </si>
  <si>
    <t>semiconductor ep pipes bengaluru</t>
  </si>
  <si>
    <t>Biggest weakness</t>
  </si>
  <si>
    <t>electropolished pipe for semiconductor industry in bengaluru</t>
  </si>
  <si>
    <t>Thin trust signals — placeholder social links (facebook.com/YOURPAGE), templated testimonials, AI-generated imagery, one hotlinked competitor image.</t>
  </si>
  <si>
    <t>Sinnar, Satpur, Ambad, Igatpuri, Dindori</t>
  </si>
  <si>
    <t>Auto-spun content ('we tend to square measure providing you the merchandise'), 'ISO 9001:2008' branding on a superseded standard, keyword-stuffed slugs.</t>
  </si>
  <si>
    <t>Dairy / Wineries / Beverage / Fruit Processing</t>
  </si>
  <si>
    <t>/industries/semiconductor-electropolished-pipes/, /electropolished-pipe-supplier-bengaluru/</t>
  </si>
  <si>
    <t>Real photos, real ISO 9001:2015 certificate scan, real named author bylines. Authenticity is the cheapest available edge.</t>
  </si>
  <si>
    <t>semiconductor-ep-pipes-bengaluru</t>
  </si>
  <si>
    <t>Standards coverage</t>
  </si>
  <si>
    <t>Highest-intent combo pages. Reference the real cluster (Bommasandra, Electronic City, Hosur Road, Jigani, Peenya) and the systems (UHP gas lines, UPW loops, chemical distribution, fabs).</t>
  </si>
  <si>
    <t>Strong — A270, A269, ASME BPE, EN 10204 3.1, PMI, orbital welding, WFI/CIP/SIP.</t>
  </si>
  <si>
    <t>Kolhapur</t>
  </si>
  <si>
    <t>Broad ASTM page matrix (A269, A312, A213, A358, A249, A554) but shallower per page.</t>
  </si>
  <si>
    <t>Match the breadth, beat both on ACCURACY. See the correction note below — that is a real opportunity.</t>
  </si>
  <si>
    <t>Shiroli, Gokul Shirgaon, Kagal, Ichalkaranji</t>
  </si>
  <si>
    <t>Dairy / Sugar / Food Processing / Beverages</t>
  </si>
  <si>
    <t>SF-076</t>
  </si>
  <si>
    <t>Factual accuracy</t>
  </si>
  <si>
    <t>Cites 'SEMI F57' on semiconductor content. F57 is a ultra-pure-water POLYMER standard, not a stainless EP tube spec.</t>
  </si>
  <si>
    <t>/resources/</t>
  </si>
  <si>
    <t>Not verified in detail; spun text suggests low editorial control.</t>
  </si>
  <si>
    <t>EP Pipe Charts, Calculators &amp; Technical Resources</t>
  </si>
  <si>
    <t>Cite SEMI F19 and F17 for EP stainless tubing. Being the accurate source is exactly what earns AI citations and QA-buyer trust.</t>
  </si>
  <si>
    <t>EP Pipe Charts, Calculators &amp; Spec Downloads | Sakshi Forge</t>
  </si>
  <si>
    <t>Anand</t>
  </si>
  <si>
    <t>Tools / calculators</t>
  </si>
  <si>
    <t>Anand, Vidyanagar, Khambhat dairy belt</t>
  </si>
  <si>
    <t>Free tools for specifying electropolished pipe: Ra converter, ASME BPE SF chart, pipe size chart, weight calculator and downloadable spec sheets.</t>
  </si>
  <si>
    <t>Dairy / Milk Processing / Milk Powder</t>
  </si>
  <si>
    <t>Has a 'Calculator and Chart' silo — pipe weight calculator, Ra/RMS calculator, size charts, inch-mm conversion. This is their smartest tactic.</t>
  </si>
  <si>
    <t>None found.</t>
  </si>
  <si>
    <t>electropolished pipe technical resources</t>
  </si>
  <si>
    <t>ra converter | asme bpe surface finish chart | pipe size chart</t>
  </si>
  <si>
    <t>BUILD THESE (Phase 3). They earn backlinks passively, which is the one thing an organic-only budget cannot otherwise buy.</t>
  </si>
  <si>
    <t>Sangareddy</t>
  </si>
  <si>
    <t>Industry pages</t>
  </si>
  <si>
    <t>All resource pages</t>
  </si>
  <si>
    <t>Partial — semiconductor covered well, others thin.</t>
  </si>
  <si>
    <t>Patancheru, Bollaram, Mallepally brewery belt</t>
  </si>
  <si>
    <t>Email-gated catalogue download</t>
  </si>
  <si>
    <t>Weak — product-led, not application-led.</t>
  </si>
  <si>
    <t>ep-pipe-resources-tools</t>
  </si>
  <si>
    <t>Breweries / Pharma / API</t>
  </si>
  <si>
    <t>These pages earn links and AI citations — treat as priority, not filler.</t>
  </si>
  <si>
    <t>THE BIGGEST GAP. 12 industry pages is where the fastest rankings are. Neither competitor owns this space.</t>
  </si>
  <si>
    <t>City pages</t>
  </si>
  <si>
    <t>City names listed inside product pages, not dedicated pages.</t>
  </si>
  <si>
    <t>Has dedicated city pages (e.g. /electropolished-tube-in-dehli/) plus brand doorway pages (RathGibson, Valex, WSG-Crest).</t>
  </si>
  <si>
    <t>SF-077</t>
  </si>
  <si>
    <t>Build dedicated city pages, but genuinely local. Do NOT copy the brand doorway-page tactic — that is a spam pattern.</t>
  </si>
  <si>
    <t>INDUSTRY REFERENCE</t>
  </si>
  <si>
    <t>/resources/ra-surface-finish-converter/</t>
  </si>
  <si>
    <t>Ra Surface Finish Converter (um to uin)</t>
  </si>
  <si>
    <t>Active into 2026. Topics: hygienic tubing guide, EP vs mirror polished, EP in semiconductor.</t>
  </si>
  <si>
    <t>Ra Converter: Microns to Microinches (um to uin)</t>
  </si>
  <si>
    <t>Active 2025-26. Smart tactic: blog posts link heavily into product pages.</t>
  </si>
  <si>
    <t>Copy Mahadev's internal-linking-from-blog tactic. Copy CeraPure's topic selection. Add named authors, which neither has.</t>
  </si>
  <si>
    <t>Rating</t>
  </si>
  <si>
    <t>Free Ra surface roughness converter. Convert um to uin instantly and see which ASME BPE surface finish grade (SF1-SF6) your value falls into.</t>
  </si>
  <si>
    <t>Off-site authority</t>
  </si>
  <si>
    <t>Keyword core</t>
  </si>
  <si>
    <t>Weak. Placeholder social links suggest an unfinished setup.</t>
  </si>
  <si>
    <t>ra micron to microinch converter</t>
  </si>
  <si>
    <t>Systems to write about</t>
  </si>
  <si>
    <t>Strong. Content since 2020, brand claims since 2000, real Facebook presence.</t>
  </si>
  <si>
    <t>Typical spec</t>
  </si>
  <si>
    <t>Article; BreadcrumbList; FAQPage; HowTo</t>
  </si>
  <si>
    <t>Directory listings first (IndiaMART, TradeIndia, Justdial), then Google Business Profile reviews. Fastest authority available for zero budget.</t>
  </si>
  <si>
    <t>/electropolished-pipes/, /request-a-quote/</t>
  </si>
  <si>
    <t>Soft CTA: 'Need this spec supplied? Get a quote'</t>
  </si>
  <si>
    <t>AI / GEO visibility</t>
  </si>
  <si>
    <t>*****</t>
  </si>
  <si>
    <t>ra-surface-finish-converter-chart</t>
  </si>
  <si>
    <t>Better positioned — structured tables, explicit Ra figures, FAQ schema, definitional content.</t>
  </si>
  <si>
    <t>Link-earning + AI-citation asset. Must contain a real data table with dual units. Keep the tool usable without email gating (except the catalogue).</t>
  </si>
  <si>
    <t>Pharmaceutical &amp; API</t>
  </si>
  <si>
    <t>Weaker — prose-heavy, less extractable.</t>
  </si>
  <si>
    <t>pharma</t>
  </si>
  <si>
    <t>Win here with: dual-unit spec tables, definitional Q&amp;A blocks, FAQPage schema, named expert authors, and correct standard citations.</t>
  </si>
  <si>
    <t>WFI, PW, CIP/SIP, cleanroom utilities, API reactors, injectables</t>
  </si>
  <si>
    <t>316L, ASME BPE SF4, Ra 0.38 um, orbital weld, MTC 3.1</t>
  </si>
  <si>
    <t>SF-078</t>
  </si>
  <si>
    <t>THE THREE GAPS THAT MATTER MOST</t>
  </si>
  <si>
    <t>/resources/asme-bpe-surface-finish-chart/</t>
  </si>
  <si>
    <t>Dairy &amp; Milk Processing</t>
  </si>
  <si>
    <t>ASME BPE Surface Finish Chart (SF1-SF6)</t>
  </si>
  <si>
    <t>dairy</t>
  </si>
  <si>
    <t>ASME BPE Surface Finish Chart | SF1 to SF6 Ra Values</t>
  </si>
  <si>
    <t>Milk lines, milk powder, cheese, whey, ice cream, CIP/SIP</t>
  </si>
  <si>
    <t>304L/316L, ASTM A270, Ra 0.5-0.8 um, TC fittings</t>
  </si>
  <si>
    <t>Complete ASME BPE surface finish table. SF1 20 uin/0.51 um, SF4 electropolished 15 uin/0.38 um, SF5, SF6 — mechanical vs electropolished designations.</t>
  </si>
  <si>
    <t>asme bpe surface finish chart</t>
  </si>
  <si>
    <t>Food Processing</t>
  </si>
  <si>
    <t>food grade</t>
  </si>
  <si>
    <t>Fruit pulp, sauces, ingredients, aseptic lines, hot-fill</t>
  </si>
  <si>
    <t>304L, ASTM A270, sanitary Ra, crevice-free joints</t>
  </si>
  <si>
    <t>asme-bpe-surface-finish-chart-chart</t>
  </si>
  <si>
    <t>Beverage &amp; Juice</t>
  </si>
  <si>
    <t>beverage</t>
  </si>
  <si>
    <t>Juice, RTD, carbonated lines, bottling, blending</t>
  </si>
  <si>
    <t>SF-079</t>
  </si>
  <si>
    <t>304L, ASTM A270, hygienic Ra, CIP compatible</t>
  </si>
  <si>
    <t>1.  INDUSTRY-INTENT PAGES.  Neither competitor has proper application-led pages. Twelve of them, written by someone who understands CIP/SIP and WFI, is the fastest route to rankings on this plan.</t>
  </si>
  <si>
    <t>/resources/ep-pipe-size-chart/</t>
  </si>
  <si>
    <t>EP Pipe &amp; Tube Size Chart (OD / WT / NB)</t>
  </si>
  <si>
    <t>Electropolished Pipe &amp; Tube Size Chart | OD, WT, NB</t>
  </si>
  <si>
    <t>Mango Pulp &amp; Fruit Processing</t>
  </si>
  <si>
    <t>mango pulp</t>
  </si>
  <si>
    <t>EP pipe and tube size chart with OD, wall thickness, NB equivalents and weight per metre for 304L and 316L. Downloadable PDF included.</t>
  </si>
  <si>
    <t>Pulping, aseptic filling, evaporators, hot-break lines</t>
  </si>
  <si>
    <t>316L (acid service), ASTM A270, sanitary Ra</t>
  </si>
  <si>
    <t>electropolished pipe size chart</t>
  </si>
  <si>
    <t>Biotechnology &amp; Biopharma</t>
  </si>
  <si>
    <t>ep-pipe-size-chart-chart</t>
  </si>
  <si>
    <t>biotech</t>
  </si>
  <si>
    <t>Bioreactors, fermentation, cell culture, vaccine lines</t>
  </si>
  <si>
    <t>2.  TOOLS AND CHARTS.  CeraPure proves these work. They attract links and AI citations without any advertising spend — the only scalable authority source available on a zero-budget plan.</t>
  </si>
  <si>
    <t>316L, ASME BPE SF4, Ra 0.38 um, full traceability</t>
  </si>
  <si>
    <t>SF-080</t>
  </si>
  <si>
    <t>Semiconductor &amp; Electronics</t>
  </si>
  <si>
    <t>semiconductor</t>
  </si>
  <si>
    <t>UHP gas lines, UPW loops, chemical distribution, fabs</t>
  </si>
  <si>
    <t>/resources/ss-pipe-weight-calculator/</t>
  </si>
  <si>
    <t>SS Pipe Weight Calculator</t>
  </si>
  <si>
    <t>316L EP, SEMI F19/F17 reference, cleanroom packed</t>
  </si>
  <si>
    <t>Stainless Steel Pipe Weight Calculator | Kg per Metre</t>
  </si>
  <si>
    <t>Calculate SS pipe and tube weight per metre from OD and wall thickness. Works for 304, 304L, 316 and 316L. Free instant calculator.</t>
  </si>
  <si>
    <t>****</t>
  </si>
  <si>
    <t>3.  DEMONSTRABLE AUTHENTICITY.  Real photos, a real ISO 9001:2015 certificate, a real named engineer as author, a real sample MTC. Both competitors are visibly weak here, and it costs nothing but honesty.</t>
  </si>
  <si>
    <t>Breweries &amp; Distilleries</t>
  </si>
  <si>
    <t>stainless steel pipe weight calculator</t>
  </si>
  <si>
    <t>brewery</t>
  </si>
  <si>
    <t>Wort, fermentation, bright beer, CIP, bottling</t>
  </si>
  <si>
    <t>304L/316L, ASTM A270, hygienic Ra, CIP lines</t>
  </si>
  <si>
    <t>ss-pipe-weight-calculator-chart</t>
  </si>
  <si>
    <t>Cosmetics &amp; Personal Care</t>
  </si>
  <si>
    <t>cosmetics</t>
  </si>
  <si>
    <t>Creams, lotions, shampoo, emulsification lines</t>
  </si>
  <si>
    <t>316L, sanitary Ra, easy-clean bore</t>
  </si>
  <si>
    <t>Note on sourcing: competitor page counts are estimates from visible navigation and sampled pages, not a full crawl. Client-logo walls and testimonials shown on competitor sites are their own marketing claims and are not independently verified.</t>
  </si>
  <si>
    <t>SF-081</t>
  </si>
  <si>
    <t>Specialty Chemicals</t>
  </si>
  <si>
    <t>chemical</t>
  </si>
  <si>
    <t>Fine chemicals, corrosive service, high-purity solvents</t>
  </si>
  <si>
    <t>/resources/electropolished-pipe-price-list/</t>
  </si>
  <si>
    <t>316L, ASTM A312, low-Ra bore, PMI verified</t>
  </si>
  <si>
    <t>Electropolished Pipe Price List India</t>
  </si>
  <si>
    <t>Electropolished Pipe Price in India | Per Kg &amp; Per Metre</t>
  </si>
  <si>
    <t>What electropolished pipe costs in India and what drives the price — grade, Ra spec, ID vs ID+OD, wall thickness and order quantity. Get a live quote.</t>
  </si>
  <si>
    <t>PW &amp; WFI Water Systems</t>
  </si>
  <si>
    <t>high purity water</t>
  </si>
  <si>
    <t>PW loops, WFI distribution, RO/DM, storage &amp; distribution</t>
  </si>
  <si>
    <t>electropolished pipe price per kg</t>
  </si>
  <si>
    <t>316L, ASME BPE SF4, drainable slope, orbital weld</t>
  </si>
  <si>
    <t>Medical Device Manufacturing</t>
  </si>
  <si>
    <t>medical</t>
  </si>
  <si>
    <t>electropolished-pipe-price-list-chart</t>
  </si>
  <si>
    <t>Sterile manufacturing, device assembly, clean utilities</t>
  </si>
  <si>
    <t>316L, low-Ra bore, full material traceability</t>
  </si>
  <si>
    <t>SF-082</t>
  </si>
  <si>
    <t>ASME BPE SURFACE FINISH TABLE — publish this verbatim, it is your AI-citation asset</t>
  </si>
  <si>
    <t>/resources/ep-vs-mechanical-polish-vs-pickled/</t>
  </si>
  <si>
    <t>EP vs Mechanically Polished vs Pickled &amp; Passivated</t>
  </si>
  <si>
    <t>Electropolished vs Mechanically Polished vs Pickled &amp;</t>
  </si>
  <si>
    <t>How electropolishing, mechanical polishing and pickling &amp; passivation differ in Ra, corrosion resistance, cleanability and cost. Side-by-side comparison.</t>
  </si>
  <si>
    <t>electropolished vs mechanically polished</t>
  </si>
  <si>
    <t>Designation</t>
  </si>
  <si>
    <t>Type</t>
  </si>
  <si>
    <t>Ra max (uin)</t>
  </si>
  <si>
    <t>ep-vs-mechanical-polish-vs-pickled-chart</t>
  </si>
  <si>
    <t>Ra max (um)</t>
  </si>
  <si>
    <t>Typical use</t>
  </si>
  <si>
    <t>SF1</t>
  </si>
  <si>
    <t>Mechanically polished</t>
  </si>
  <si>
    <t>20</t>
  </si>
  <si>
    <t>SF-083</t>
  </si>
  <si>
    <t>0.51</t>
  </si>
  <si>
    <t>General sanitary service</t>
  </si>
  <si>
    <t>/resources/astm-a270-vs-a269/</t>
  </si>
  <si>
    <t>ASTM A270 vs ASTM A269 Comparison</t>
  </si>
  <si>
    <t>SF2</t>
  </si>
  <si>
    <t>ASTM A270 vs ASTM A269 | Which Tubing Spec Do You Need?</t>
  </si>
  <si>
    <t>25</t>
  </si>
  <si>
    <t>ASTM A270 sanitary tubing vs ASTM A269 general service tubing — scope, sizes, finish, testing and when to specify each. Clear comparison table.</t>
  </si>
  <si>
    <t>0.64</t>
  </si>
  <si>
    <t>Food and dairy</t>
  </si>
  <si>
    <t>astm a270 vs a269</t>
  </si>
  <si>
    <t>SF3</t>
  </si>
  <si>
    <t>30</t>
  </si>
  <si>
    <t>0.76</t>
  </si>
  <si>
    <t>Lower-criticality process</t>
  </si>
  <si>
    <t>astm-a270-vs-a269-chart</t>
  </si>
  <si>
    <t>SF4</t>
  </si>
  <si>
    <t>SF-084</t>
  </si>
  <si>
    <t>/resources/316l-vs-304l-ep-pipes/</t>
  </si>
  <si>
    <t>Electropolished</t>
  </si>
  <si>
    <t>SS 316L vs 304L EP Pipes</t>
  </si>
  <si>
    <t>SS 316L vs 304L EP Pipes | Which Grade to Specify</t>
  </si>
  <si>
    <t>15</t>
  </si>
  <si>
    <t>316L vs 304L electropolished pipe: chemistry, corrosion resistance, chloride tolerance, cost and typical applications. Pick the right grade first time.</t>
  </si>
  <si>
    <t>0.38</t>
  </si>
  <si>
    <t>316l vs 304l stainless steel pipe</t>
  </si>
  <si>
    <t>Pharmaceutical, WFI, bioprocess — the most specified grade</t>
  </si>
  <si>
    <t>SF5</t>
  </si>
  <si>
    <t>316l-vs-304l-ep-pipes-chart</t>
  </si>
  <si>
    <t>General high-purity</t>
  </si>
  <si>
    <t>SF6</t>
  </si>
  <si>
    <t>SF-085</t>
  </si>
  <si>
    <t>Entry-level electropolished</t>
  </si>
  <si>
    <t>/resources/download-ep-pipe-catalogue/</t>
  </si>
  <si>
    <t>Download EP Pipe Catalogue &amp; Spec Sheet</t>
  </si>
  <si>
    <t>Download EP Pipe Catalogue &amp; Spec Sheet (PDF)</t>
  </si>
  <si>
    <t>Download the Sakshi Forge electropolished pipe catalogue — grades, sizes, Ra options, standards and test certificates. Free PDF, instant access.</t>
  </si>
  <si>
    <t>Source: ASME BPE surface finish designations. Verify against the current edition before publishing — engineers and QA buyers check these figures.</t>
  </si>
  <si>
    <t>electropolished pipe catalogue pdf</t>
  </si>
  <si>
    <t>download-ep-pipe-catalogue-chart</t>
  </si>
  <si>
    <t>SF-086</t>
  </si>
  <si>
    <t>/resources/en-10204-31-mtc-sample/</t>
  </si>
  <si>
    <t>Sample EN 10204 3.1 MTC</t>
  </si>
  <si>
    <t>Sample EN 10204 3.1 MTC for Electropolished Pipe</t>
  </si>
  <si>
    <t>See exactly what an EN 10204 3.1 mill test certificate looks like for EP pipe — heat number, chemistry, mechanicals, Ra reading and PMI result.</t>
  </si>
  <si>
    <t>en 10204 3.1 certificate sample</t>
  </si>
  <si>
    <t>en-10204-31-mtc-sample-chart</t>
  </si>
  <si>
    <t>SF-087</t>
  </si>
  <si>
    <t>/about-sakshi-forge/</t>
  </si>
  <si>
    <t>About Sakshi Forge</t>
  </si>
  <si>
    <t>About Sakshi Forge | EP Pipe Manufacturer, Mumbai</t>
  </si>
  <si>
    <t>Sakshi Forge is an ISO 9001:2015 certified stainless steel manufacturer in Mumbai specialising in electropolished pipes, tubes and fittings for process.</t>
  </si>
  <si>
    <t>electropolished pipe manufacturer mumbai</t>
  </si>
  <si>
    <t>AboutPage; Organization</t>
  </si>
  <si>
    <t>/electropolished-pipes/, /industries/</t>
  </si>
  <si>
    <t>Primary RFQ form</t>
  </si>
  <si>
    <t>sakshi-forge-about-sakshi-forge</t>
  </si>
  <si>
    <t>Conversion-critical. Certificates as real scanned images with descriptive alt text, NOT stock graphics.</t>
  </si>
  <si>
    <t>SF-088</t>
  </si>
  <si>
    <t>/quality-certifications/</t>
  </si>
  <si>
    <t>Quality, ISO 9001:2015 &amp; Test Certificates</t>
  </si>
  <si>
    <t>Quality &amp; Certifications | ISO 9001:2015, MTC, PMI</t>
  </si>
  <si>
    <t>Our quality system, ISO 9001:2015 certificate, EN 10204 3.1 mill test certificates, PMI reports and Ra profilometer records — all viewable here.</t>
  </si>
  <si>
    <t>iso 9001 ep pipe manufacturer</t>
  </si>
  <si>
    <t>WebPage; BreadcrumbList</t>
  </si>
  <si>
    <t>sakshi-forge-quality-certifications</t>
  </si>
  <si>
    <t>SF-089</t>
  </si>
  <si>
    <t>/electropolishing-process/</t>
  </si>
  <si>
    <t>Our Electropolishing Process &amp; Facility</t>
  </si>
  <si>
    <t>How Sakshi Forge electropolishes stainless steel pipe — degreasing, pickling, electrolytic polishing, passivation and final Ra verification. Facility.</t>
  </si>
  <si>
    <t>electropolishing process stainless steel</t>
  </si>
  <si>
    <t>sakshi-forge-electropolishing-process</t>
  </si>
  <si>
    <t>SF-090</t>
  </si>
  <si>
    <t>/testing-inspection/</t>
  </si>
  <si>
    <t>Testing &amp; Inspection (PMI, Ra, Hydro, Eddy Current)</t>
  </si>
  <si>
    <t>Testing &amp; Inspection | PMI, Ra, Hydro, Eddy Current</t>
  </si>
  <si>
    <t>Every EP pipe lot is PMI verified, Ra measured by profilometer, hydro or eddy current tested and documented on an EN 10204 3.1 certificate.</t>
  </si>
  <si>
    <t>pmi testing stainless steel pipe</t>
  </si>
  <si>
    <t>sakshi-forge-testing-inspection</t>
  </si>
  <si>
    <t>SF-091</t>
  </si>
  <si>
    <t>/industries-served/</t>
  </si>
  <si>
    <t>Industries We Serve</t>
  </si>
  <si>
    <t>Industries We Serve | Pharma, Dairy, Food, Biotech</t>
  </si>
  <si>
    <t>Sakshi Forge supplies electropolished piping to pharma, dairy, food, beverage, biotech, semiconductor and brewery plants across India.</t>
  </si>
  <si>
    <t>ep pipe applications industries</t>
  </si>
  <si>
    <t>sakshi-forge-industries-served</t>
  </si>
  <si>
    <t>SF-092</t>
  </si>
  <si>
    <t>Request a Quote / RFQ</t>
  </si>
  <si>
    <t>Request a Quote for Electropolished Pipes | 24 hr Reply</t>
  </si>
  <si>
    <t>Send your EP pipe requirement — grade, OD, wall, length, Ra spec and quantity. Priced quotation with lead time within 24 working hours.</t>
  </si>
  <si>
    <t>electropolished pipe quote india</t>
  </si>
  <si>
    <t>sakshi-forge-request-a-quote</t>
  </si>
  <si>
    <t>SF-093</t>
  </si>
  <si>
    <t>/contact/</t>
  </si>
  <si>
    <t>Contact Sakshi Forge</t>
  </si>
  <si>
    <t>Contact Sakshi Forge | EP Pipe Manufacturer Mumbai</t>
  </si>
  <si>
    <t>Call, WhatsApp or email Sakshi Forge in Mumbai for electropolished pipe, tube and fitting enquiries. Factory address and working hours inside.</t>
  </si>
  <si>
    <t>electropolished pipe manufacturer contact</t>
  </si>
  <si>
    <t>ContactPage; LocalBusiness; Organization</t>
  </si>
  <si>
    <t>sakshi-forge-contact</t>
  </si>
  <si>
    <t>SF-094</t>
  </si>
  <si>
    <t>/blog/how-to-specify-electropolished-pipe/</t>
  </si>
  <si>
    <t>How to Specify Electropolished Pipe: A Buyer's Checklist</t>
  </si>
  <si>
    <t>Practical guidance from Sakshi Forge on how to specify electropolished pipe — written for engineers and QA teams specifying electropolished stainless steel.</t>
  </si>
  <si>
    <t>how to specify electropolished pipe</t>
  </si>
  <si>
    <t>BlogPosting; BreadcrumbList; FAQPage</t>
  </si>
  <si>
    <t>/blog/</t>
  </si>
  <si>
    <t>2-3 relevant product pages + 1 resource page + /request-a-quote/</t>
  </si>
  <si>
    <t>End-of-post RFQ block</t>
  </si>
  <si>
    <t>how-to-specify-electropolished-pipe-guide</t>
  </si>
  <si>
    <t>Author byline with a real named engineer + credentials. This is what earns E-E-A-T and AI citations.</t>
  </si>
  <si>
    <t>SF-095</t>
  </si>
  <si>
    <t>/blog/ra-value-explained-pharma-piping/</t>
  </si>
  <si>
    <t>Ra Values Explained for Pharma Piping (0.38 um / 15 uin)</t>
  </si>
  <si>
    <t>Practical guidance from Sakshi Forge on ra value pharma piping — written for engineers and QA teams specifying electropolished stainless steel piping.</t>
  </si>
  <si>
    <t>ra value pharma piping</t>
  </si>
  <si>
    <t>ra-value-explained-pharma-piping-guide</t>
  </si>
  <si>
    <t>SF-096</t>
  </si>
  <si>
    <t>/blog/orbital-welding-ep-tube/</t>
  </si>
  <si>
    <t>Orbital Welding EP Tube: Acceptance Criteria That Matter</t>
  </si>
  <si>
    <t>Practical guidance from Sakshi Forge on orbital welding stainless steel tube — written for engineers and QA teams specifying electropolished stainless.</t>
  </si>
  <si>
    <t>orbital welding stainless steel tube</t>
  </si>
  <si>
    <t>orbital-welding-ep-tube-guide</t>
  </si>
  <si>
    <t>SF-097</t>
  </si>
  <si>
    <t>/blog/wfi-loop-piping-design/</t>
  </si>
  <si>
    <t>WFI Loop Piping: Material, Finish and Slope Requirements</t>
  </si>
  <si>
    <t>Practical guidance from Sakshi Forge on wfi loop piping design — written for engineers and QA teams specifying electropolished stainless steel piping.</t>
  </si>
  <si>
    <t>wfi loop piping design</t>
  </si>
  <si>
    <t>wfi-loop-piping-design-guide</t>
  </si>
  <si>
    <t>SF-098</t>
  </si>
  <si>
    <t>/blog/cip-sip-piping-material-selection/</t>
  </si>
  <si>
    <t>CIP and SIP Piping: Choosing Material and Surface Finish</t>
  </si>
  <si>
    <t>Practical guidance from Sakshi Forge on cip sip piping material selection — written for engineers and QA teams specifying electropolished stainless steel.</t>
  </si>
  <si>
    <t>cip sip piping material selection</t>
  </si>
  <si>
    <t>cip-sip-piping-material-selection-guide</t>
  </si>
  <si>
    <t>SF-099</t>
  </si>
  <si>
    <t>/blog/ep-pipe-inspection-checklist/</t>
  </si>
  <si>
    <t>EP Pipe Incoming Inspection Checklist for QA Teams</t>
  </si>
  <si>
    <t>Practical guidance from Sakshi Forge on ep pipe inspection checklist — written for engineers and QA teams specifying electropolished stainless steel piping.</t>
  </si>
  <si>
    <t>ep pipe inspection checklist</t>
  </si>
  <si>
    <t>ep-pipe-inspection-checklist-guide</t>
  </si>
  <si>
    <t>SF-100</t>
  </si>
  <si>
    <t>/blog/mango-pulp-plant-piping/</t>
  </si>
  <si>
    <t>Piping Selection for a Mango Pulp Processing Plant</t>
  </si>
  <si>
    <t>Practical guidance from Sakshi Forge on mango pulp plant piping — written for engineers and QA teams specifying electropolished stainless steel piping.</t>
  </si>
  <si>
    <t>mango pulp plant piping</t>
  </si>
  <si>
    <t>mango-pulp-plant-piping-guide</t>
  </si>
  <si>
    <t>SF-101</t>
  </si>
  <si>
    <t>/blog/dairy-plant-piping-guide/</t>
  </si>
  <si>
    <t>Dairy Plant Piping: ASTM A270 Tubing Selection Guide</t>
  </si>
  <si>
    <t>Practical guidance from Sakshi Forge on dairy plant piping guide — written for engineers and QA teams specifying electropolished stainless steel piping.</t>
  </si>
  <si>
    <t>dairy plant piping guide</t>
  </si>
  <si>
    <t>dairy-plant-piping-guide-guide</t>
  </si>
  <si>
    <t>SF-102</t>
  </si>
  <si>
    <t>/blog/brewery-piping-hygienic-design/</t>
  </si>
  <si>
    <t>Brewery Piping and Hygienic Design Fundamentals</t>
  </si>
  <si>
    <t>Practical guidance from Sakshi Forge on brewery hygienic piping design — written for engineers and QA teams specifying electropolished stainless steel.</t>
  </si>
  <si>
    <t>brewery hygienic piping design</t>
  </si>
  <si>
    <t>brewery-piping-hygienic-design-guide</t>
  </si>
  <si>
    <t>SF-103</t>
  </si>
  <si>
    <t>/blog/semiconductor-uhp-tubing-semi-f19/</t>
  </si>
  <si>
    <t>Semiconductor UHP Tubing and SEMI F19 Surface Finishes</t>
  </si>
  <si>
    <t>Practical guidance from Sakshi Forge on semi f19 electropolished tubing — written for engineers and QA teams specifying electropolished stainless steel.</t>
  </si>
  <si>
    <t>semi f19 electropolished tubing</t>
  </si>
  <si>
    <t>semiconductor-uhp-tubing-semi-f19-guide</t>
  </si>
  <si>
    <t>SF-104</t>
  </si>
  <si>
    <t>/blog/passivation-after-electropolishing/</t>
  </si>
  <si>
    <t>Passivation After Electropolishing: Why Both Steps Matter</t>
  </si>
  <si>
    <t>Practical guidance from Sakshi Forge on passivation after electropolishing — written for engineers and QA teams specifying electropolished stainless steel.</t>
  </si>
  <si>
    <t>passivation after electropolishing</t>
  </si>
  <si>
    <t>passivation-after-electropolishing-guide</t>
  </si>
  <si>
    <t>SF-105</t>
  </si>
  <si>
    <t>/blog/ep-pipe-packing-transport/</t>
  </si>
  <si>
    <t>Packing and Transporting EP Pipe Without Damaging the Bore</t>
  </si>
  <si>
    <t>Practical guidance from Sakshi Forge on ep pipe packing handling — written for engineers and QA teams specifying electropolished stainless steel piping.</t>
  </si>
  <si>
    <t>ep pipe packing handling</t>
  </si>
  <si>
    <t>ep-pipe-packing-transport-guide</t>
  </si>
  <si>
    <t>SF-106</t>
  </si>
  <si>
    <t>Technical Insights on Electropolished Piping</t>
  </si>
  <si>
    <t>EP Pipe Technical Blog | Sakshi Forge</t>
  </si>
  <si>
    <t>Engineering guidance on specifying, inspecting and installing electropolished stainless steel piping for pharma, dairy, food and semiconductor plants.</t>
  </si>
  <si>
    <t>electropolished pipe blog</t>
  </si>
  <si>
    <t>Blog; BreadcrumbList</t>
  </si>
  <si>
    <t>All blog posts</t>
  </si>
  <si>
    <t>Newsletter / catalogue download</t>
  </si>
  <si>
    <t>ep-pipe-technical-blog</t>
  </si>
  <si>
    <t>Paginated, 10 posts per page, self-referencing canonical per page.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</si>
</sst>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6.0"/>
      <color rgb="FFFFFFFF"/>
      <name val="Arial"/>
    </font>
    <font/>
    <font>
      <i/>
      <sz val="9.0"/>
      <color rgb="FF666666"/>
      <name val="Arial"/>
    </font>
    <font>
      <b/>
      <sz val="11.0"/>
      <color rgb="FFFFFFFF"/>
      <name val="Arial"/>
    </font>
    <font>
      <b/>
      <sz val="12.0"/>
      <color rgb="FF1F3864"/>
      <name val="Arial"/>
    </font>
    <font>
      <sz val="10.0"/>
      <color theme="1"/>
      <name val="Arial"/>
    </font>
    <font>
      <b/>
      <sz val="10.0"/>
      <color theme="1"/>
      <name val="Arial"/>
    </font>
    <font>
      <sz val="10.0"/>
      <color rgb="FF0563C1"/>
      <name val="Arial"/>
    </font>
    <font>
      <sz val="9.0"/>
      <color theme="1"/>
      <name val="Arial"/>
    </font>
    <font>
      <b/>
      <sz val="12.0"/>
      <color rgb="FF9C0006"/>
      <name val="Arial"/>
    </font>
    <font>
      <sz val="8.0"/>
      <color theme="1"/>
      <name val="Courier New"/>
    </font>
    <font>
      <b/>
      <sz val="10.0"/>
      <color rgb="FF9C0006"/>
      <name val="Arial"/>
    </font>
    <font>
      <b/>
      <sz val="10.0"/>
      <color rgb="FF000000"/>
      <name val="Arial"/>
    </font>
    <font>
      <sz val="9.0"/>
      <color rgb="FF0563C1"/>
      <name val="Arial"/>
    </font>
  </fonts>
  <fills count="9">
    <fill>
      <patternFill patternType="none"/>
    </fill>
    <fill>
      <patternFill patternType="lightGray"/>
    </fill>
    <fill>
      <patternFill patternType="solid">
        <fgColor rgb="FF1F3864"/>
        <bgColor rgb="FF1F3864"/>
      </patternFill>
    </fill>
    <fill>
      <patternFill patternType="solid">
        <fgColor rgb="FF2E5C8A"/>
        <bgColor rgb="FF2E5C8A"/>
      </patternFill>
    </fill>
    <fill>
      <patternFill patternType="solid">
        <fgColor rgb="FFF2F7FB"/>
        <bgColor rgb="FFF2F7FB"/>
      </patternFill>
    </fill>
    <fill>
      <patternFill patternType="solid">
        <fgColor rgb="FFE2EFDA"/>
        <bgColor rgb="FFE2EFDA"/>
      </patternFill>
    </fill>
    <fill>
      <patternFill patternType="solid">
        <fgColor rgb="FFFFF2CC"/>
        <bgColor rgb="FFFFF2CC"/>
      </patternFill>
    </fill>
    <fill>
      <patternFill patternType="solid">
        <fgColor rgb="FFFCE4E4"/>
        <bgColor rgb="FFFCE4E4"/>
      </patternFill>
    </fill>
    <fill>
      <patternFill patternType="solid">
        <fgColor rgb="FFDDEBF7"/>
        <bgColor rgb="FFDDEBF7"/>
      </patternFill>
    </fill>
  </fills>
  <borders count="8">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0" fillId="0" fontId="3" numFmtId="0" xfId="0" applyAlignment="1" applyFont="1">
      <alignment horizontal="left" shrinkToFit="0" vertical="center" wrapText="0"/>
    </xf>
    <xf borderId="4" fillId="3" fontId="4" numFmtId="0" xfId="0" applyAlignment="1" applyBorder="1" applyFill="1" applyFont="1">
      <alignment horizontal="center" shrinkToFit="0" vertical="center" wrapText="1"/>
    </xf>
    <xf borderId="4" fillId="3" fontId="4" numFmtId="0" xfId="0" applyAlignment="1" applyBorder="1" applyFont="1">
      <alignment horizontal="left" shrinkToFit="0" vertical="top" wrapText="1"/>
    </xf>
    <xf borderId="4" fillId="0" fontId="5" numFmtId="0" xfId="0" applyAlignment="1" applyBorder="1" applyFont="1">
      <alignment horizontal="left" shrinkToFit="0" vertical="top" wrapText="1"/>
    </xf>
    <xf borderId="4" fillId="4" fontId="6" numFmtId="0" xfId="0" applyAlignment="1" applyBorder="1" applyFill="1" applyFont="1">
      <alignment horizontal="center" shrinkToFit="0" vertical="center" wrapText="1"/>
    </xf>
    <xf borderId="4" fillId="4" fontId="6" numFmtId="0" xfId="0" applyAlignment="1" applyBorder="1" applyFont="1">
      <alignment horizontal="left" shrinkToFit="0" vertical="top" wrapText="1"/>
    </xf>
    <xf borderId="4" fillId="4" fontId="7" numFmtId="0" xfId="0" applyAlignment="1" applyBorder="1" applyFont="1">
      <alignment horizontal="left" shrinkToFit="0" vertical="top" wrapText="1"/>
    </xf>
    <xf borderId="4" fillId="0" fontId="6" numFmtId="0" xfId="0" applyAlignment="1" applyBorder="1" applyFont="1">
      <alignment horizontal="left" shrinkToFit="0" vertical="top" wrapText="1"/>
    </xf>
    <xf borderId="4" fillId="4" fontId="8" numFmtId="0" xfId="0" applyAlignment="1" applyBorder="1" applyFont="1">
      <alignment horizontal="left" shrinkToFit="0" vertical="top" wrapText="1"/>
    </xf>
    <xf borderId="4" fillId="0" fontId="7" numFmtId="0" xfId="0" applyAlignment="1" applyBorder="1" applyFont="1">
      <alignment horizontal="left" shrinkToFit="0" vertical="top" wrapText="1"/>
    </xf>
    <xf borderId="4" fillId="4" fontId="9" numFmtId="0" xfId="0" applyAlignment="1" applyBorder="1" applyFont="1">
      <alignment horizontal="left" shrinkToFit="0" vertical="top" wrapText="1"/>
    </xf>
    <xf borderId="4" fillId="0" fontId="6" numFmtId="0" xfId="0" applyAlignment="1" applyBorder="1" applyFont="1">
      <alignment horizontal="center" shrinkToFit="0" vertical="center" wrapText="1"/>
    </xf>
    <xf borderId="4" fillId="0" fontId="8" numFmtId="0" xfId="0" applyAlignment="1" applyBorder="1" applyFont="1">
      <alignment horizontal="left" shrinkToFit="0" vertical="top" wrapText="1"/>
    </xf>
    <xf borderId="4" fillId="4" fontId="7" numFmtId="0" xfId="0" applyAlignment="1" applyBorder="1" applyFont="1">
      <alignment horizontal="center" shrinkToFit="0" vertical="center" wrapText="1"/>
    </xf>
    <xf borderId="4" fillId="0" fontId="9" numFmtId="0" xfId="0" applyAlignment="1" applyBorder="1" applyFont="1">
      <alignment horizontal="left" shrinkToFit="0" vertical="top" wrapText="1"/>
    </xf>
    <xf borderId="4" fillId="5" fontId="6" numFmtId="0" xfId="0" applyAlignment="1" applyBorder="1" applyFill="1" applyFont="1">
      <alignment horizontal="left" shrinkToFit="0" vertical="top" wrapText="1"/>
    </xf>
    <xf borderId="5" fillId="0" fontId="6" numFmtId="0" xfId="0" applyAlignment="1" applyBorder="1" applyFont="1">
      <alignment horizontal="left" shrinkToFit="0" vertical="top" wrapText="1"/>
    </xf>
    <xf borderId="6" fillId="0" fontId="2" numFmtId="0" xfId="0" applyBorder="1" applyFont="1"/>
    <xf borderId="7" fillId="0" fontId="2" numFmtId="0" xfId="0" applyBorder="1" applyFont="1"/>
    <xf borderId="4" fillId="0" fontId="6" numFmtId="9" xfId="0" applyAlignment="1" applyBorder="1" applyFont="1" applyNumberFormat="1">
      <alignment horizontal="center" shrinkToFit="0" vertical="center" wrapText="1"/>
    </xf>
    <xf borderId="4" fillId="6" fontId="6" numFmtId="0" xfId="0" applyAlignment="1" applyBorder="1" applyFill="1" applyFont="1">
      <alignment horizontal="center" shrinkToFit="0" vertical="center" wrapText="1"/>
    </xf>
    <xf borderId="4" fillId="6" fontId="6" numFmtId="0" xfId="0" applyAlignment="1" applyBorder="1" applyFont="1">
      <alignment horizontal="left" shrinkToFit="0" vertical="top" wrapText="1"/>
    </xf>
    <xf borderId="4" fillId="0" fontId="7" numFmtId="0" xfId="0" applyAlignment="1" applyBorder="1" applyFont="1">
      <alignment horizontal="center" shrinkToFit="0" vertical="center" wrapText="1"/>
    </xf>
    <xf borderId="4" fillId="7" fontId="6" numFmtId="0" xfId="0" applyAlignment="1" applyBorder="1" applyFill="1" applyFont="1">
      <alignment horizontal="left" shrinkToFit="0" vertical="top" wrapText="1"/>
    </xf>
    <xf borderId="4" fillId="8" fontId="6" numFmtId="0" xfId="0" applyAlignment="1" applyBorder="1" applyFill="1" applyFont="1">
      <alignment horizontal="left" shrinkToFit="0" vertical="top" wrapText="1"/>
    </xf>
    <xf borderId="5" fillId="7" fontId="10" numFmtId="0" xfId="0" applyAlignment="1" applyBorder="1" applyFont="1">
      <alignment horizontal="left" shrinkToFit="0" vertical="top" wrapText="1"/>
    </xf>
    <xf borderId="5" fillId="7" fontId="6" numFmtId="0" xfId="0" applyAlignment="1" applyBorder="1" applyFont="1">
      <alignment horizontal="left" shrinkToFit="0" vertical="top" wrapText="1"/>
    </xf>
    <xf borderId="4" fillId="8" fontId="7" numFmtId="0" xfId="0" applyAlignment="1" applyBorder="1" applyFont="1">
      <alignment horizontal="left" shrinkToFit="0" vertical="top" wrapText="1"/>
    </xf>
    <xf borderId="4" fillId="8" fontId="7" numFmtId="0" xfId="0" applyAlignment="1" applyBorder="1" applyFont="1">
      <alignment horizontal="center" shrinkToFit="0" vertical="center" wrapText="1"/>
    </xf>
    <xf borderId="4" fillId="8" fontId="7" numFmtId="9" xfId="0" applyAlignment="1" applyBorder="1" applyFont="1" applyNumberFormat="1">
      <alignment horizontal="center" shrinkToFit="0" vertical="center" wrapText="1"/>
    </xf>
    <xf borderId="4" fillId="2" fontId="6" numFmtId="0" xfId="0" applyAlignment="1" applyBorder="1" applyFont="1">
      <alignment horizontal="left" shrinkToFit="0" vertical="top" wrapText="1"/>
    </xf>
    <xf borderId="4" fillId="2" fontId="4" numFmtId="0" xfId="0" applyAlignment="1" applyBorder="1" applyFont="1">
      <alignment horizontal="left" shrinkToFit="0" vertical="top" wrapText="1"/>
    </xf>
    <xf borderId="4" fillId="7" fontId="9" numFmtId="0" xfId="0" applyAlignment="1" applyBorder="1" applyFont="1">
      <alignment horizontal="left" shrinkToFit="0" vertical="top" wrapText="1"/>
    </xf>
    <xf borderId="5" fillId="0" fontId="3" numFmtId="0" xfId="0" applyAlignment="1" applyBorder="1" applyFont="1">
      <alignment horizontal="left" shrinkToFit="0" vertical="top" wrapText="1"/>
    </xf>
    <xf borderId="4" fillId="5" fontId="11" numFmtId="0" xfId="0" applyAlignment="1" applyBorder="1" applyFont="1">
      <alignment horizontal="left" shrinkToFit="0" vertical="top" wrapText="1"/>
    </xf>
    <xf borderId="4" fillId="7" fontId="6" numFmtId="0" xfId="0" applyAlignment="1" applyBorder="1" applyFont="1">
      <alignment horizontal="center" shrinkToFit="0" vertical="center" wrapText="1"/>
    </xf>
    <xf borderId="4" fillId="7" fontId="7" numFmtId="0" xfId="0" applyAlignment="1" applyBorder="1" applyFont="1">
      <alignment horizontal="left" shrinkToFit="0" vertical="top" wrapText="1"/>
    </xf>
    <xf borderId="4" fillId="7" fontId="12" numFmtId="0" xfId="0" applyAlignment="1" applyBorder="1" applyFont="1">
      <alignment horizontal="center" shrinkToFit="0" vertical="center" wrapText="1"/>
    </xf>
    <xf borderId="4" fillId="4" fontId="13" numFmtId="0" xfId="0" applyAlignment="1" applyBorder="1" applyFont="1">
      <alignment horizontal="center" shrinkToFit="0" vertical="center" wrapText="1"/>
    </xf>
    <xf borderId="5" fillId="6" fontId="6" numFmtId="0" xfId="0" applyAlignment="1" applyBorder="1" applyFont="1">
      <alignment horizontal="left" shrinkToFit="0" vertical="top" wrapText="1"/>
    </xf>
    <xf borderId="4" fillId="0" fontId="13" numFmtId="0" xfId="0" applyAlignment="1" applyBorder="1" applyFont="1">
      <alignment horizontal="center" shrinkToFit="0" vertical="center" wrapText="1"/>
    </xf>
    <xf borderId="4" fillId="6" fontId="9" numFmtId="0" xfId="0" applyAlignment="1" applyBorder="1" applyFont="1">
      <alignment horizontal="left" shrinkToFit="0" vertical="top" wrapText="1"/>
    </xf>
    <xf borderId="4" fillId="4" fontId="14" numFmtId="0" xfId="0" applyAlignment="1" applyBorder="1" applyFont="1">
      <alignment horizontal="left" shrinkToFit="0" vertical="top" wrapText="1"/>
    </xf>
    <xf borderId="4" fillId="0" fontId="14" numFmtId="0" xfId="0" applyAlignment="1" applyBorder="1" applyFont="1">
      <alignment horizontal="left" shrinkToFit="0" vertical="top" wrapText="1"/>
    </xf>
    <xf borderId="4" fillId="5" fontId="9" numFmtId="0" xfId="0" applyAlignment="1" applyBorder="1" applyFont="1">
      <alignment horizontal="left" shrinkToFit="0" vertical="top" wrapText="1"/>
    </xf>
    <xf borderId="5" fillId="0" fontId="5" numFmtId="0" xfId="0" applyAlignment="1" applyBorder="1" applyFont="1">
      <alignment horizontal="left" shrinkToFit="0" vertical="top" wrapText="1"/>
    </xf>
    <xf borderId="5" fillId="5" fontId="6" numFmtId="0" xfId="0" applyAlignment="1" applyBorder="1" applyFont="1">
      <alignment horizontal="left" shrinkToFit="0" vertical="top" wrapText="1"/>
    </xf>
    <xf borderId="4" fillId="5" fontId="7" numFmtId="0" xfId="0" applyAlignment="1" applyBorder="1" applyFont="1">
      <alignment horizontal="left" shrinkToFit="0" vertical="top" wrapText="1"/>
    </xf>
    <xf borderId="4" fillId="5"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62.0"/>
    <col customWidth="1" min="3" max="3" width="46.0"/>
    <col customWidth="1" min="4" max="4" width="22.0"/>
    <col customWidth="1" min="5" max="26" width="8.71"/>
  </cols>
  <sheetData>
    <row r="1" ht="30.0" customHeight="1">
      <c r="A1" s="1" t="s">
        <v>2</v>
      </c>
      <c r="B1" s="2"/>
      <c r="C1" s="2"/>
      <c r="D1" s="3"/>
    </row>
    <row r="2" ht="21.75" customHeight="1">
      <c r="A2" s="4" t="s">
        <v>5</v>
      </c>
    </row>
    <row r="4" ht="30.0" customHeight="1">
      <c r="A4" s="6" t="s">
        <v>8</v>
      </c>
      <c r="B4" s="6" t="s">
        <v>16</v>
      </c>
      <c r="C4" s="6" t="s">
        <v>18</v>
      </c>
      <c r="D4" s="6" t="s">
        <v>19</v>
      </c>
    </row>
    <row r="5" ht="45.75" customHeight="1">
      <c r="A5" s="9" t="s">
        <v>21</v>
      </c>
      <c r="B5" s="9" t="s">
        <v>28</v>
      </c>
      <c r="C5" s="9" t="s">
        <v>31</v>
      </c>
      <c r="D5" s="9" t="s">
        <v>32</v>
      </c>
    </row>
    <row r="6" ht="45.75" customHeight="1">
      <c r="A6" s="11" t="s">
        <v>38</v>
      </c>
      <c r="B6" s="11" t="s">
        <v>43</v>
      </c>
      <c r="C6" s="11" t="s">
        <v>45</v>
      </c>
      <c r="D6" s="11" t="s">
        <v>47</v>
      </c>
    </row>
    <row r="7" ht="45.75" customHeight="1">
      <c r="A7" s="9" t="s">
        <v>50</v>
      </c>
      <c r="B7" s="9" t="s">
        <v>52</v>
      </c>
      <c r="C7" s="9" t="s">
        <v>54</v>
      </c>
      <c r="D7" s="9" t="s">
        <v>56</v>
      </c>
    </row>
    <row r="8" ht="45.75" customHeight="1">
      <c r="A8" s="11" t="s">
        <v>59</v>
      </c>
      <c r="B8" s="11" t="s">
        <v>62</v>
      </c>
      <c r="C8" s="11" t="s">
        <v>64</v>
      </c>
      <c r="D8" s="11" t="s">
        <v>56</v>
      </c>
    </row>
    <row r="9" ht="45.75" customHeight="1">
      <c r="A9" s="9" t="s">
        <v>67</v>
      </c>
      <c r="B9" s="9" t="s">
        <v>69</v>
      </c>
      <c r="C9" s="9" t="s">
        <v>71</v>
      </c>
      <c r="D9" s="9" t="s">
        <v>73</v>
      </c>
    </row>
    <row r="10" ht="45.75" customHeight="1">
      <c r="A10" s="11" t="s">
        <v>75</v>
      </c>
      <c r="B10" s="11" t="s">
        <v>77</v>
      </c>
      <c r="C10" s="11" t="s">
        <v>71</v>
      </c>
      <c r="D10" s="11" t="s">
        <v>73</v>
      </c>
    </row>
    <row r="11" ht="45.75" customHeight="1">
      <c r="A11" s="9" t="s">
        <v>78</v>
      </c>
      <c r="B11" s="9" t="s">
        <v>79</v>
      </c>
      <c r="C11" s="9" t="s">
        <v>71</v>
      </c>
      <c r="D11" s="9" t="s">
        <v>80</v>
      </c>
    </row>
    <row r="12" ht="45.75" customHeight="1">
      <c r="A12" s="11" t="s">
        <v>82</v>
      </c>
      <c r="B12" s="11" t="s">
        <v>84</v>
      </c>
      <c r="C12" s="11" t="s">
        <v>85</v>
      </c>
      <c r="D12" s="11" t="s">
        <v>73</v>
      </c>
    </row>
    <row r="13" ht="45.75" customHeight="1">
      <c r="A13" s="9" t="s">
        <v>87</v>
      </c>
      <c r="B13" s="9" t="s">
        <v>89</v>
      </c>
      <c r="C13" s="9" t="s">
        <v>54</v>
      </c>
      <c r="D13" s="9" t="s">
        <v>91</v>
      </c>
    </row>
    <row r="14" ht="45.75" customHeight="1">
      <c r="A14" s="11" t="s">
        <v>93</v>
      </c>
      <c r="B14" s="11" t="s">
        <v>95</v>
      </c>
      <c r="C14" s="11" t="s">
        <v>85</v>
      </c>
      <c r="D14" s="11" t="s">
        <v>96</v>
      </c>
    </row>
    <row r="16">
      <c r="A16" s="7" t="s">
        <v>98</v>
      </c>
    </row>
    <row r="17" ht="27.75" customHeight="1">
      <c r="A17" s="20" t="s">
        <v>100</v>
      </c>
      <c r="B17" s="21"/>
      <c r="C17" s="21"/>
      <c r="D17" s="22"/>
    </row>
    <row r="18" ht="27.75" customHeight="1">
      <c r="A18" s="20" t="s">
        <v>106</v>
      </c>
      <c r="B18" s="21"/>
      <c r="C18" s="21"/>
      <c r="D18" s="22"/>
    </row>
    <row r="19" ht="27.75" customHeight="1">
      <c r="A19" s="20" t="s">
        <v>110</v>
      </c>
      <c r="B19" s="21"/>
      <c r="C19" s="21"/>
      <c r="D19" s="22"/>
    </row>
    <row r="20" ht="27.75" customHeight="1">
      <c r="A20" s="20" t="s">
        <v>114</v>
      </c>
      <c r="B20" s="21"/>
      <c r="C20" s="21"/>
      <c r="D20" s="22"/>
    </row>
    <row r="21" ht="27.75" customHeight="1">
      <c r="A21" s="20" t="s">
        <v>119</v>
      </c>
      <c r="B21" s="21"/>
      <c r="C21" s="21"/>
      <c r="D21" s="22"/>
    </row>
    <row r="22" ht="27.75" customHeight="1">
      <c r="A22" s="20" t="s">
        <v>126</v>
      </c>
      <c r="B22" s="21"/>
      <c r="C22" s="21"/>
      <c r="D22" s="22"/>
    </row>
    <row r="23" ht="27.75" customHeight="1">
      <c r="A23" s="20" t="s">
        <v>129</v>
      </c>
      <c r="B23" s="21"/>
      <c r="C23" s="21"/>
      <c r="D23" s="22"/>
    </row>
    <row r="24" ht="15.75" customHeight="1"/>
    <row r="25" ht="15.75" customHeight="1">
      <c r="A25" s="7" t="s">
        <v>136</v>
      </c>
    </row>
    <row r="26" ht="19.5" customHeight="1">
      <c r="A26" s="25"/>
      <c r="B26" s="20" t="s">
        <v>139</v>
      </c>
      <c r="C26" s="21"/>
      <c r="D26" s="22"/>
    </row>
    <row r="27" ht="19.5" customHeight="1">
      <c r="A27" s="19"/>
      <c r="B27" s="20" t="s">
        <v>142</v>
      </c>
      <c r="C27" s="21"/>
      <c r="D27" s="22"/>
    </row>
    <row r="28" ht="19.5" customHeight="1">
      <c r="A28" s="27"/>
      <c r="B28" s="20" t="s">
        <v>147</v>
      </c>
      <c r="C28" s="21"/>
      <c r="D28" s="22"/>
    </row>
    <row r="29" ht="19.5" customHeight="1">
      <c r="A29" s="28"/>
      <c r="B29" s="20" t="s">
        <v>158</v>
      </c>
      <c r="C29" s="21"/>
      <c r="D29" s="22"/>
    </row>
    <row r="30" ht="15.75" customHeight="1"/>
    <row r="31" ht="15.75" customHeight="1"/>
    <row r="32" ht="15.0" customHeight="1">
      <c r="A32" s="29" t="s">
        <v>167</v>
      </c>
      <c r="B32" s="21"/>
      <c r="C32" s="21"/>
      <c r="D32" s="22"/>
    </row>
    <row r="33" ht="75.75" customHeight="1">
      <c r="A33" s="30" t="s">
        <v>175</v>
      </c>
      <c r="B33" s="21"/>
      <c r="C33" s="21"/>
      <c r="D33" s="2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22:D22"/>
    <mergeCell ref="A23:D23"/>
    <mergeCell ref="B26:D26"/>
    <mergeCell ref="B27:D27"/>
    <mergeCell ref="B28:D28"/>
    <mergeCell ref="B29:D29"/>
    <mergeCell ref="A32:D32"/>
    <mergeCell ref="A33:D33"/>
    <mergeCell ref="A1:D1"/>
    <mergeCell ref="A2:D2"/>
    <mergeCell ref="A17:D17"/>
    <mergeCell ref="A18:D18"/>
    <mergeCell ref="A19:D19"/>
    <mergeCell ref="A20:D20"/>
    <mergeCell ref="A21:D2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6" width="14.0"/>
    <col customWidth="1" min="7" max="26" width="8.71"/>
  </cols>
  <sheetData>
    <row r="1" ht="30.0" customHeight="1">
      <c r="A1" s="1" t="s">
        <v>1</v>
      </c>
      <c r="B1" s="2"/>
      <c r="C1" s="2"/>
      <c r="D1" s="2"/>
      <c r="E1" s="2"/>
      <c r="F1" s="3"/>
    </row>
    <row r="2" ht="21.75" customHeight="1">
      <c r="A2" s="4" t="s">
        <v>7</v>
      </c>
    </row>
    <row r="4">
      <c r="A4" s="7" t="s">
        <v>12</v>
      </c>
    </row>
    <row r="5" ht="31.5" customHeight="1">
      <c r="A5" s="5" t="s">
        <v>23</v>
      </c>
      <c r="B5" s="5" t="s">
        <v>27</v>
      </c>
      <c r="C5" s="5" t="s">
        <v>30</v>
      </c>
      <c r="D5" s="5" t="s">
        <v>33</v>
      </c>
      <c r="E5" s="5" t="s">
        <v>35</v>
      </c>
      <c r="F5" s="5" t="s">
        <v>37</v>
      </c>
    </row>
    <row r="6">
      <c r="A6" s="13" t="s">
        <v>41</v>
      </c>
      <c r="B6" s="15">
        <f>COUNTIF('02 Page Master'!$C$4:$C$109,1)</f>
        <v>18</v>
      </c>
      <c r="C6" s="15">
        <f>COUNTIFS('02 Page Master'!$C$4:$C$109,1,'02 Page Master'!$U$4:$U$109,"Not started")</f>
        <v>18</v>
      </c>
      <c r="D6" s="15">
        <f>COUNTIFS('02 Page Master'!$C$4:$C$109,1,'02 Page Master'!$U$4:$U$109,"In progress")</f>
        <v>0</v>
      </c>
      <c r="E6" s="15">
        <f>COUNTIFS('02 Page Master'!$C$4:$C$109,1,'02 Page Master'!$U$4:$U$109,"Live")</f>
        <v>0</v>
      </c>
      <c r="F6" s="23">
        <f t="shared" ref="F6:F10" si="1">IFERROR(E6/B6,0)</f>
        <v>0</v>
      </c>
    </row>
    <row r="7">
      <c r="A7" s="13" t="s">
        <v>135</v>
      </c>
      <c r="B7" s="15">
        <f>COUNTIF('02 Page Master'!$C$4:$C$109,2)</f>
        <v>22</v>
      </c>
      <c r="C7" s="15">
        <f>COUNTIFS('02 Page Master'!$C$4:$C$109,2,'02 Page Master'!$U$4:$U$109,"Not started")</f>
        <v>22</v>
      </c>
      <c r="D7" s="15">
        <f>COUNTIFS('02 Page Master'!$C$4:$C$109,2,'02 Page Master'!$U$4:$U$109,"In progress")</f>
        <v>0</v>
      </c>
      <c r="E7" s="15">
        <f>COUNTIFS('02 Page Master'!$C$4:$C$109,2,'02 Page Master'!$U$4:$U$109,"Live")</f>
        <v>0</v>
      </c>
      <c r="F7" s="23">
        <f t="shared" si="1"/>
        <v>0</v>
      </c>
    </row>
    <row r="8">
      <c r="A8" s="13" t="s">
        <v>160</v>
      </c>
      <c r="B8" s="15">
        <f>COUNTIF('02 Page Master'!$C$4:$C$109,3)</f>
        <v>21</v>
      </c>
      <c r="C8" s="15">
        <f>COUNTIFS('02 Page Master'!$C$4:$C$109,3,'02 Page Master'!$U$4:$U$109,"Not started")</f>
        <v>21</v>
      </c>
      <c r="D8" s="15">
        <f>COUNTIFS('02 Page Master'!$C$4:$C$109,3,'02 Page Master'!$U$4:$U$109,"In progress")</f>
        <v>0</v>
      </c>
      <c r="E8" s="15">
        <f>COUNTIFS('02 Page Master'!$C$4:$C$109,3,'02 Page Master'!$U$4:$U$109,"Live")</f>
        <v>0</v>
      </c>
      <c r="F8" s="23">
        <f t="shared" si="1"/>
        <v>0</v>
      </c>
    </row>
    <row r="9">
      <c r="A9" s="13" t="s">
        <v>191</v>
      </c>
      <c r="B9" s="15">
        <f>COUNTIF('02 Page Master'!$C$4:$C$109,4)</f>
        <v>45</v>
      </c>
      <c r="C9" s="15">
        <f>COUNTIFS('02 Page Master'!$C$4:$C$109,4,'02 Page Master'!$U$4:$U$109,"Not started")</f>
        <v>45</v>
      </c>
      <c r="D9" s="15">
        <f>COUNTIFS('02 Page Master'!$C$4:$C$109,4,'02 Page Master'!$U$4:$U$109,"In progress")</f>
        <v>0</v>
      </c>
      <c r="E9" s="15">
        <f>COUNTIFS('02 Page Master'!$C$4:$C$109,4,'02 Page Master'!$U$4:$U$109,"Live")</f>
        <v>0</v>
      </c>
      <c r="F9" s="23">
        <f t="shared" si="1"/>
        <v>0</v>
      </c>
    </row>
    <row r="10">
      <c r="A10" s="31" t="s">
        <v>213</v>
      </c>
      <c r="B10" s="32">
        <f t="shared" ref="B10:E10" si="2">SUM(B6:B9)</f>
        <v>106</v>
      </c>
      <c r="C10" s="32">
        <f t="shared" si="2"/>
        <v>106</v>
      </c>
      <c r="D10" s="32">
        <f t="shared" si="2"/>
        <v>0</v>
      </c>
      <c r="E10" s="32">
        <f t="shared" si="2"/>
        <v>0</v>
      </c>
      <c r="F10" s="33">
        <f t="shared" si="1"/>
        <v>0</v>
      </c>
    </row>
    <row r="13">
      <c r="A13" s="7" t="s">
        <v>231</v>
      </c>
    </row>
    <row r="14" ht="31.5" customHeight="1">
      <c r="A14" s="5" t="s">
        <v>233</v>
      </c>
      <c r="B14" s="5" t="s">
        <v>27</v>
      </c>
      <c r="C14" s="5" t="s">
        <v>35</v>
      </c>
      <c r="D14" s="5" t="s">
        <v>37</v>
      </c>
      <c r="E14" s="5"/>
      <c r="F14" s="5"/>
    </row>
    <row r="15">
      <c r="A15" s="11" t="s">
        <v>237</v>
      </c>
      <c r="B15" s="15">
        <f>COUNTIF('02 Page Master'!$D$4:$D$109,A15)</f>
        <v>12</v>
      </c>
      <c r="C15" s="15">
        <f>COUNTIFS('02 Page Master'!$D$4:$D$109,A15,'02 Page Master'!$U$4:$U$109,"Live")</f>
        <v>0</v>
      </c>
      <c r="D15" s="23">
        <f t="shared" ref="D15:D30" si="3">IFERROR(C15/B15,0)</f>
        <v>0</v>
      </c>
    </row>
    <row r="16">
      <c r="A16" s="11" t="s">
        <v>144</v>
      </c>
      <c r="B16" s="15">
        <f>COUNTIF('02 Page Master'!$D$4:$D$109,A16)</f>
        <v>6</v>
      </c>
      <c r="C16" s="15">
        <f>COUNTIFS('02 Page Master'!$D$4:$D$109,A16,'02 Page Master'!$U$4:$U$109,"Live")</f>
        <v>0</v>
      </c>
      <c r="D16" s="23">
        <f t="shared" si="3"/>
        <v>0</v>
      </c>
    </row>
    <row r="17">
      <c r="A17" s="11" t="s">
        <v>260</v>
      </c>
      <c r="B17" s="15">
        <f>COUNTIF('02 Page Master'!$D$4:$D$109,A17)</f>
        <v>14</v>
      </c>
      <c r="C17" s="15">
        <f>COUNTIFS('02 Page Master'!$D$4:$D$109,A17,'02 Page Master'!$U$4:$U$109,"Live")</f>
        <v>0</v>
      </c>
      <c r="D17" s="23">
        <f t="shared" si="3"/>
        <v>0</v>
      </c>
    </row>
    <row r="18">
      <c r="A18" s="11" t="s">
        <v>273</v>
      </c>
      <c r="B18" s="15">
        <f>COUNTIF('02 Page Master'!$D$4:$D$109,A18)</f>
        <v>15</v>
      </c>
      <c r="C18" s="15">
        <f>COUNTIFS('02 Page Master'!$D$4:$D$109,A18,'02 Page Master'!$U$4:$U$109,"Live")</f>
        <v>0</v>
      </c>
      <c r="D18" s="23">
        <f t="shared" si="3"/>
        <v>0</v>
      </c>
    </row>
    <row r="19">
      <c r="A19" s="11" t="s">
        <v>86</v>
      </c>
      <c r="B19" s="15">
        <f>COUNTIF('02 Page Master'!$D$4:$D$109,A19)</f>
        <v>1</v>
      </c>
      <c r="C19" s="15">
        <f>COUNTIFS('02 Page Master'!$D$4:$D$109,A19,'02 Page Master'!$U$4:$U$109,"Live")</f>
        <v>0</v>
      </c>
      <c r="D19" s="23">
        <f t="shared" si="3"/>
        <v>0</v>
      </c>
    </row>
    <row r="20">
      <c r="A20" s="11" t="s">
        <v>297</v>
      </c>
      <c r="B20" s="15">
        <f>COUNTIF('02 Page Master'!$D$4:$D$109,A20)</f>
        <v>12</v>
      </c>
      <c r="C20" s="15">
        <f>COUNTIFS('02 Page Master'!$D$4:$D$109,A20,'02 Page Master'!$U$4:$U$109,"Live")</f>
        <v>0</v>
      </c>
      <c r="D20" s="23">
        <f t="shared" si="3"/>
        <v>0</v>
      </c>
    </row>
    <row r="21" ht="15.75" customHeight="1">
      <c r="A21" s="11" t="s">
        <v>307</v>
      </c>
      <c r="B21" s="15">
        <f>COUNTIF('02 Page Master'!$D$4:$D$109,A21)</f>
        <v>12</v>
      </c>
      <c r="C21" s="15">
        <f>COUNTIFS('02 Page Master'!$D$4:$D$109,A21,'02 Page Master'!$U$4:$U$109,"Live")</f>
        <v>0</v>
      </c>
      <c r="D21" s="23">
        <f t="shared" si="3"/>
        <v>0</v>
      </c>
    </row>
    <row r="22" ht="15.75" customHeight="1">
      <c r="A22" s="11" t="s">
        <v>177</v>
      </c>
      <c r="B22" s="15">
        <f>COUNTIF('02 Page Master'!$D$4:$D$109,A22)</f>
        <v>12</v>
      </c>
      <c r="C22" s="15">
        <f>COUNTIFS('02 Page Master'!$D$4:$D$109,A22,'02 Page Master'!$U$4:$U$109,"Live")</f>
        <v>0</v>
      </c>
      <c r="D22" s="23">
        <f t="shared" si="3"/>
        <v>0</v>
      </c>
    </row>
    <row r="23" ht="15.75" customHeight="1">
      <c r="A23" s="11" t="s">
        <v>324</v>
      </c>
      <c r="B23" s="15">
        <f>COUNTIF('02 Page Master'!$D$4:$D$109,A23)</f>
        <v>2</v>
      </c>
      <c r="C23" s="15">
        <f>COUNTIFS('02 Page Master'!$D$4:$D$109,A23,'02 Page Master'!$U$4:$U$109,"Live")</f>
        <v>0</v>
      </c>
      <c r="D23" s="23">
        <f t="shared" si="3"/>
        <v>0</v>
      </c>
    </row>
    <row r="24" ht="15.75" customHeight="1">
      <c r="A24" s="11" t="s">
        <v>340</v>
      </c>
      <c r="B24" s="15">
        <f>COUNTIF('02 Page Master'!$D$4:$D$109,A24)</f>
        <v>1</v>
      </c>
      <c r="C24" s="15">
        <f>COUNTIFS('02 Page Master'!$D$4:$D$109,A24,'02 Page Master'!$U$4:$U$109,"Live")</f>
        <v>0</v>
      </c>
      <c r="D24" s="23">
        <f t="shared" si="3"/>
        <v>0</v>
      </c>
    </row>
    <row r="25" ht="15.75" customHeight="1">
      <c r="A25" s="11" t="s">
        <v>352</v>
      </c>
      <c r="B25" s="15">
        <f>COUNTIF('02 Page Master'!$D$4:$D$109,A25)</f>
        <v>3</v>
      </c>
      <c r="C25" s="15">
        <f>COUNTIFS('02 Page Master'!$D$4:$D$109,A25,'02 Page Master'!$U$4:$U$109,"Live")</f>
        <v>0</v>
      </c>
      <c r="D25" s="23">
        <f t="shared" si="3"/>
        <v>0</v>
      </c>
    </row>
    <row r="26" ht="15.75" customHeight="1">
      <c r="A26" s="11" t="s">
        <v>366</v>
      </c>
      <c r="B26" s="15">
        <f>COUNTIF('02 Page Master'!$D$4:$D$109,A26)</f>
        <v>1</v>
      </c>
      <c r="C26" s="15">
        <f>COUNTIFS('02 Page Master'!$D$4:$D$109,A26,'02 Page Master'!$U$4:$U$109,"Live")</f>
        <v>0</v>
      </c>
      <c r="D26" s="23">
        <f t="shared" si="3"/>
        <v>0</v>
      </c>
    </row>
    <row r="27" ht="15.75" customHeight="1">
      <c r="A27" s="11" t="s">
        <v>380</v>
      </c>
      <c r="B27" s="15">
        <f>COUNTIF('02 Page Master'!$D$4:$D$109,A27)</f>
        <v>2</v>
      </c>
      <c r="C27" s="15">
        <f>COUNTIFS('02 Page Master'!$D$4:$D$109,A27,'02 Page Master'!$U$4:$U$109,"Live")</f>
        <v>0</v>
      </c>
      <c r="D27" s="23">
        <f t="shared" si="3"/>
        <v>0</v>
      </c>
    </row>
    <row r="28" ht="15.75" customHeight="1">
      <c r="A28" s="11" t="s">
        <v>385</v>
      </c>
      <c r="B28" s="15">
        <f>COUNTIF('02 Page Master'!$D$4:$D$109,A28)</f>
        <v>1</v>
      </c>
      <c r="C28" s="15">
        <f>COUNTIFS('02 Page Master'!$D$4:$D$109,A28,'02 Page Master'!$U$4:$U$109,"Live")</f>
        <v>0</v>
      </c>
      <c r="D28" s="23">
        <f t="shared" si="3"/>
        <v>0</v>
      </c>
    </row>
    <row r="29" ht="15.75" customHeight="1">
      <c r="A29" s="11" t="s">
        <v>365</v>
      </c>
      <c r="B29" s="15">
        <f>COUNTIF('02 Page Master'!$D$4:$D$109,A29)</f>
        <v>5</v>
      </c>
      <c r="C29" s="15">
        <f>COUNTIFS('02 Page Master'!$D$4:$D$109,A29,'02 Page Master'!$U$4:$U$109,"Live")</f>
        <v>0</v>
      </c>
      <c r="D29" s="23">
        <f t="shared" si="3"/>
        <v>0</v>
      </c>
    </row>
    <row r="30" ht="15.75" customHeight="1">
      <c r="A30" s="11" t="s">
        <v>408</v>
      </c>
      <c r="B30" s="15">
        <f>COUNTIF('02 Page Master'!$D$4:$D$109,A30)</f>
        <v>7</v>
      </c>
      <c r="C30" s="15">
        <f>COUNTIFS('02 Page Master'!$D$4:$D$109,A30,'02 Page Master'!$U$4:$U$109,"Live")</f>
        <v>0</v>
      </c>
      <c r="D30" s="23">
        <f t="shared" si="3"/>
        <v>0</v>
      </c>
    </row>
    <row r="31" ht="15.75" customHeight="1"/>
    <row r="32" ht="15.75" customHeight="1"/>
    <row r="33" ht="15.75" customHeight="1">
      <c r="A33" s="7" t="s">
        <v>420</v>
      </c>
    </row>
    <row r="34" ht="31.5" customHeight="1">
      <c r="A34" s="5" t="s">
        <v>421</v>
      </c>
      <c r="B34" s="5" t="s">
        <v>423</v>
      </c>
      <c r="C34" s="5" t="s">
        <v>424</v>
      </c>
      <c r="D34" s="5" t="s">
        <v>425</v>
      </c>
      <c r="E34" s="5"/>
      <c r="F34" s="5"/>
    </row>
    <row r="35" ht="15.75" customHeight="1">
      <c r="A35" s="11" t="s">
        <v>428</v>
      </c>
      <c r="B35" s="15">
        <f>COUNTIF('02 Page Master'!$H$4:$H$109,"&gt;60")</f>
        <v>0</v>
      </c>
      <c r="C35" s="15" t="s">
        <v>436</v>
      </c>
      <c r="D35" s="26" t="str">
        <f t="shared" ref="D35:D38" si="4">IF(B35=0,"PASS","FIX")</f>
        <v>PASS</v>
      </c>
    </row>
    <row r="36" ht="15.75" customHeight="1">
      <c r="A36" s="11" t="s">
        <v>446</v>
      </c>
      <c r="B36" s="15">
        <f>COUNTIF('02 Page Master'!$J$4:$J$109,"&gt;158")</f>
        <v>0</v>
      </c>
      <c r="C36" s="15" t="s">
        <v>436</v>
      </c>
      <c r="D36" s="26" t="str">
        <f t="shared" si="4"/>
        <v>PASS</v>
      </c>
    </row>
    <row r="37" ht="15.75" customHeight="1">
      <c r="A37" s="11" t="s">
        <v>457</v>
      </c>
      <c r="B37" s="15">
        <f>COUNTIF('02 Page Master'!$J$4:$J$109,"&lt;110")</f>
        <v>0</v>
      </c>
      <c r="C37" s="15" t="s">
        <v>436</v>
      </c>
      <c r="D37" s="26" t="str">
        <f t="shared" si="4"/>
        <v>PASS</v>
      </c>
    </row>
    <row r="38" ht="15.75" customHeight="1">
      <c r="A38" s="11" t="s">
        <v>467</v>
      </c>
      <c r="B38" s="15">
        <f>COUNTIF('02 Page Master'!$N$4:$N$109,"")</f>
        <v>0</v>
      </c>
      <c r="C38" s="15" t="s">
        <v>436</v>
      </c>
      <c r="D38" s="26" t="str">
        <f t="shared" si="4"/>
        <v>PASS</v>
      </c>
    </row>
    <row r="39" ht="15.75" customHeight="1">
      <c r="A39" s="11" t="s">
        <v>476</v>
      </c>
      <c r="B39" s="15">
        <f>COUNTIF('02 Page Master'!$V$4:$V$109,"Not started")</f>
        <v>106</v>
      </c>
      <c r="C39" s="15" t="s">
        <v>492</v>
      </c>
      <c r="D39" s="26" t="str">
        <f>IF(B39=0,"PASS","IN PROGRESS")</f>
        <v>IN PROGRESS</v>
      </c>
    </row>
    <row r="40" ht="15.75" customHeight="1"/>
    <row r="41" ht="15.75" customHeight="1"/>
    <row r="42" ht="15.0" customHeight="1">
      <c r="A42" s="37" t="s">
        <v>509</v>
      </c>
      <c r="B42" s="21"/>
      <c r="C42" s="21"/>
      <c r="D42" s="21"/>
      <c r="E42" s="21"/>
      <c r="F42" s="22"/>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42:F4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2" width="9.0"/>
    <col customWidth="1" min="3" max="3" width="7.0"/>
    <col customWidth="1" min="4" max="4" width="17.0"/>
    <col customWidth="1" min="5" max="6" width="40.0"/>
    <col customWidth="1" min="7" max="7" width="46.0"/>
    <col customWidth="1" min="8" max="8" width="8.0"/>
    <col customWidth="1" min="9" max="9" width="60.0"/>
    <col customWidth="1" min="10" max="10" width="8.0"/>
    <col customWidth="1" min="11" max="11" width="30.0"/>
    <col customWidth="1" min="12" max="12" width="46.0"/>
    <col customWidth="1" min="13" max="13" width="10.0"/>
    <col customWidth="1" min="14" max="14" width="34.0"/>
    <col customWidth="1" min="15" max="15" width="26.0"/>
    <col customWidth="1" min="16" max="16" width="46.0"/>
    <col customWidth="1" min="17" max="17" width="34.0"/>
    <col customWidth="1" min="18" max="18" width="32.0"/>
    <col customWidth="1" min="19" max="19" width="62.0"/>
    <col customWidth="1" min="20" max="20" width="2.0"/>
    <col customWidth="1" min="21" max="21" width="14.0"/>
    <col customWidth="1" min="22" max="22" width="15.0"/>
    <col customWidth="1" min="23" max="23" width="12.0"/>
    <col customWidth="1" min="24" max="24" width="13.0"/>
    <col customWidth="1" min="25" max="26" width="8.71"/>
  </cols>
  <sheetData>
    <row r="1" ht="30.0" customHeight="1">
      <c r="A1" s="1" t="s">
        <v>3</v>
      </c>
      <c r="B1" s="2"/>
      <c r="C1" s="2"/>
      <c r="D1" s="2"/>
      <c r="E1" s="2"/>
      <c r="F1" s="2"/>
      <c r="G1" s="2"/>
      <c r="H1" s="2"/>
      <c r="I1" s="2"/>
      <c r="J1" s="2"/>
      <c r="K1" s="2"/>
      <c r="L1" s="2"/>
      <c r="M1" s="2"/>
      <c r="N1" s="2"/>
      <c r="O1" s="2"/>
      <c r="P1" s="2"/>
      <c r="Q1" s="2"/>
      <c r="R1" s="2"/>
      <c r="S1" s="2"/>
      <c r="T1" s="2"/>
      <c r="U1" s="2"/>
      <c r="V1" s="2"/>
      <c r="W1" s="2"/>
      <c r="X1" s="3"/>
    </row>
    <row r="2" ht="21.75" customHeight="1">
      <c r="A2" s="4" t="s">
        <v>13</v>
      </c>
    </row>
    <row r="3" ht="31.5" customHeight="1">
      <c r="A3" s="5" t="s">
        <v>20</v>
      </c>
      <c r="B3" s="5" t="s">
        <v>22</v>
      </c>
      <c r="C3" s="5" t="s">
        <v>23</v>
      </c>
      <c r="D3" s="5" t="s">
        <v>24</v>
      </c>
      <c r="E3" s="5" t="s">
        <v>26</v>
      </c>
      <c r="F3" s="5" t="s">
        <v>29</v>
      </c>
      <c r="G3" s="5" t="s">
        <v>40</v>
      </c>
      <c r="H3" s="5" t="s">
        <v>42</v>
      </c>
      <c r="I3" s="5" t="s">
        <v>44</v>
      </c>
      <c r="J3" s="5" t="s">
        <v>46</v>
      </c>
      <c r="K3" s="5" t="s">
        <v>49</v>
      </c>
      <c r="L3" s="5" t="s">
        <v>51</v>
      </c>
      <c r="M3" s="5" t="s">
        <v>53</v>
      </c>
      <c r="N3" s="5" t="s">
        <v>57</v>
      </c>
      <c r="O3" s="5" t="s">
        <v>58</v>
      </c>
      <c r="P3" s="5" t="s">
        <v>60</v>
      </c>
      <c r="Q3" s="5" t="s">
        <v>61</v>
      </c>
      <c r="R3" s="5" t="s">
        <v>63</v>
      </c>
      <c r="S3" s="5" t="s">
        <v>65</v>
      </c>
      <c r="T3" s="5"/>
      <c r="U3" s="5" t="s">
        <v>68</v>
      </c>
      <c r="V3" s="5" t="s">
        <v>70</v>
      </c>
      <c r="W3" s="5" t="s">
        <v>72</v>
      </c>
      <c r="X3" s="5" t="s">
        <v>74</v>
      </c>
    </row>
    <row r="4" ht="57.75" customHeight="1">
      <c r="A4" s="17" t="s">
        <v>76</v>
      </c>
      <c r="B4" s="8" t="s">
        <v>81</v>
      </c>
      <c r="C4" s="8">
        <v>1.0</v>
      </c>
      <c r="D4" s="9" t="s">
        <v>86</v>
      </c>
      <c r="E4" s="12" t="s">
        <v>88</v>
      </c>
      <c r="F4" s="9" t="s">
        <v>90</v>
      </c>
      <c r="G4" s="19" t="s">
        <v>94</v>
      </c>
      <c r="H4" s="8">
        <f t="shared" ref="H4:H109" si="1">LEN(G4)</f>
        <v>54</v>
      </c>
      <c r="I4" s="19" t="s">
        <v>104</v>
      </c>
      <c r="J4" s="8">
        <f t="shared" ref="J4:J109" si="2">LEN(I4)</f>
        <v>155</v>
      </c>
      <c r="K4" s="9" t="s">
        <v>113</v>
      </c>
      <c r="L4" s="14" t="s">
        <v>115</v>
      </c>
      <c r="M4" s="8">
        <v>1200.0</v>
      </c>
      <c r="N4" s="14" t="s">
        <v>117</v>
      </c>
      <c r="O4" s="14" t="s">
        <v>118</v>
      </c>
      <c r="P4" s="14" t="s">
        <v>120</v>
      </c>
      <c r="Q4" s="14" t="s">
        <v>122</v>
      </c>
      <c r="R4" s="14" t="s">
        <v>123</v>
      </c>
      <c r="S4" s="14" t="s">
        <v>124</v>
      </c>
      <c r="T4" s="9"/>
      <c r="U4" s="24" t="s">
        <v>30</v>
      </c>
      <c r="V4" s="24" t="s">
        <v>30</v>
      </c>
      <c r="W4" s="24"/>
      <c r="X4" s="24" t="s">
        <v>32</v>
      </c>
    </row>
    <row r="5" ht="57.75" customHeight="1">
      <c r="A5" s="26" t="s">
        <v>141</v>
      </c>
      <c r="B5" s="15" t="s">
        <v>81</v>
      </c>
      <c r="C5" s="15">
        <v>1.0</v>
      </c>
      <c r="D5" s="11" t="s">
        <v>144</v>
      </c>
      <c r="E5" s="16" t="s">
        <v>150</v>
      </c>
      <c r="F5" s="11" t="s">
        <v>153</v>
      </c>
      <c r="G5" s="19" t="s">
        <v>155</v>
      </c>
      <c r="H5" s="15">
        <f t="shared" si="1"/>
        <v>57</v>
      </c>
      <c r="I5" s="19" t="s">
        <v>159</v>
      </c>
      <c r="J5" s="15">
        <f t="shared" si="2"/>
        <v>156</v>
      </c>
      <c r="K5" s="11" t="s">
        <v>162</v>
      </c>
      <c r="L5" s="18" t="s">
        <v>164</v>
      </c>
      <c r="M5" s="15">
        <v>900.0</v>
      </c>
      <c r="N5" s="18" t="s">
        <v>166</v>
      </c>
      <c r="O5" s="18" t="s">
        <v>88</v>
      </c>
      <c r="P5" s="18" t="s">
        <v>168</v>
      </c>
      <c r="Q5" s="18" t="s">
        <v>169</v>
      </c>
      <c r="R5" s="18" t="s">
        <v>171</v>
      </c>
      <c r="S5" s="18" t="s">
        <v>172</v>
      </c>
      <c r="T5" s="11"/>
      <c r="U5" s="24" t="s">
        <v>30</v>
      </c>
      <c r="V5" s="24" t="s">
        <v>30</v>
      </c>
      <c r="W5" s="24"/>
      <c r="X5" s="24" t="s">
        <v>32</v>
      </c>
    </row>
    <row r="6" ht="57.75" customHeight="1">
      <c r="A6" s="17" t="s">
        <v>176</v>
      </c>
      <c r="B6" s="8" t="s">
        <v>81</v>
      </c>
      <c r="C6" s="8">
        <v>1.0</v>
      </c>
      <c r="D6" s="9" t="s">
        <v>177</v>
      </c>
      <c r="E6" s="12" t="s">
        <v>39</v>
      </c>
      <c r="F6" s="9" t="s">
        <v>178</v>
      </c>
      <c r="G6" s="19" t="s">
        <v>179</v>
      </c>
      <c r="H6" s="8">
        <f t="shared" si="1"/>
        <v>53</v>
      </c>
      <c r="I6" s="19" t="s">
        <v>182</v>
      </c>
      <c r="J6" s="8">
        <f t="shared" si="2"/>
        <v>156</v>
      </c>
      <c r="K6" s="9" t="s">
        <v>187</v>
      </c>
      <c r="L6" s="14" t="s">
        <v>188</v>
      </c>
      <c r="M6" s="8">
        <v>1500.0</v>
      </c>
      <c r="N6" s="14" t="s">
        <v>190</v>
      </c>
      <c r="O6" s="14" t="s">
        <v>150</v>
      </c>
      <c r="P6" s="14" t="s">
        <v>192</v>
      </c>
      <c r="Q6" s="14" t="s">
        <v>193</v>
      </c>
      <c r="R6" s="14" t="s">
        <v>194</v>
      </c>
      <c r="S6" s="14" t="s">
        <v>195</v>
      </c>
      <c r="T6" s="9"/>
      <c r="U6" s="24" t="s">
        <v>30</v>
      </c>
      <c r="V6" s="24" t="s">
        <v>30</v>
      </c>
      <c r="W6" s="24"/>
      <c r="X6" s="24" t="s">
        <v>32</v>
      </c>
    </row>
    <row r="7" ht="57.75" customHeight="1">
      <c r="A7" s="26" t="s">
        <v>198</v>
      </c>
      <c r="B7" s="15" t="s">
        <v>81</v>
      </c>
      <c r="C7" s="15">
        <v>1.0</v>
      </c>
      <c r="D7" s="11" t="s">
        <v>177</v>
      </c>
      <c r="E7" s="16" t="s">
        <v>102</v>
      </c>
      <c r="F7" s="11" t="s">
        <v>201</v>
      </c>
      <c r="G7" s="19" t="s">
        <v>202</v>
      </c>
      <c r="H7" s="15">
        <f t="shared" si="1"/>
        <v>51</v>
      </c>
      <c r="I7" s="19" t="s">
        <v>204</v>
      </c>
      <c r="J7" s="15">
        <f t="shared" si="2"/>
        <v>149</v>
      </c>
      <c r="K7" s="11" t="s">
        <v>206</v>
      </c>
      <c r="L7" s="18" t="s">
        <v>207</v>
      </c>
      <c r="M7" s="15">
        <v>1500.0</v>
      </c>
      <c r="N7" s="18" t="s">
        <v>190</v>
      </c>
      <c r="O7" s="18" t="s">
        <v>150</v>
      </c>
      <c r="P7" s="18" t="s">
        <v>192</v>
      </c>
      <c r="Q7" s="18" t="s">
        <v>193</v>
      </c>
      <c r="R7" s="18" t="s">
        <v>209</v>
      </c>
      <c r="S7" s="18" t="s">
        <v>195</v>
      </c>
      <c r="T7" s="11"/>
      <c r="U7" s="24" t="s">
        <v>30</v>
      </c>
      <c r="V7" s="24" t="s">
        <v>30</v>
      </c>
      <c r="W7" s="24"/>
      <c r="X7" s="24" t="s">
        <v>32</v>
      </c>
    </row>
    <row r="8" ht="57.75" customHeight="1">
      <c r="A8" s="17" t="s">
        <v>210</v>
      </c>
      <c r="B8" s="8" t="s">
        <v>81</v>
      </c>
      <c r="C8" s="8">
        <v>1.0</v>
      </c>
      <c r="D8" s="9" t="s">
        <v>177</v>
      </c>
      <c r="E8" s="12" t="s">
        <v>131</v>
      </c>
      <c r="F8" s="9" t="s">
        <v>211</v>
      </c>
      <c r="G8" s="19" t="s">
        <v>212</v>
      </c>
      <c r="H8" s="8">
        <f t="shared" si="1"/>
        <v>53</v>
      </c>
      <c r="I8" s="19" t="s">
        <v>214</v>
      </c>
      <c r="J8" s="8">
        <f t="shared" si="2"/>
        <v>156</v>
      </c>
      <c r="K8" s="9" t="s">
        <v>215</v>
      </c>
      <c r="L8" s="14" t="s">
        <v>216</v>
      </c>
      <c r="M8" s="8">
        <v>1500.0</v>
      </c>
      <c r="N8" s="14" t="s">
        <v>190</v>
      </c>
      <c r="O8" s="14" t="s">
        <v>150</v>
      </c>
      <c r="P8" s="14" t="s">
        <v>192</v>
      </c>
      <c r="Q8" s="14" t="s">
        <v>193</v>
      </c>
      <c r="R8" s="14" t="s">
        <v>219</v>
      </c>
      <c r="S8" s="14" t="s">
        <v>195</v>
      </c>
      <c r="T8" s="9"/>
      <c r="U8" s="24" t="s">
        <v>30</v>
      </c>
      <c r="V8" s="24" t="s">
        <v>30</v>
      </c>
      <c r="W8" s="24"/>
      <c r="X8" s="24" t="s">
        <v>32</v>
      </c>
    </row>
    <row r="9" ht="57.75" customHeight="1">
      <c r="A9" s="26" t="s">
        <v>222</v>
      </c>
      <c r="B9" s="15" t="s">
        <v>81</v>
      </c>
      <c r="C9" s="15">
        <v>1.0</v>
      </c>
      <c r="D9" s="11" t="s">
        <v>177</v>
      </c>
      <c r="E9" s="16" t="s">
        <v>138</v>
      </c>
      <c r="F9" s="11" t="s">
        <v>226</v>
      </c>
      <c r="G9" s="19" t="s">
        <v>227</v>
      </c>
      <c r="H9" s="15">
        <f t="shared" si="1"/>
        <v>53</v>
      </c>
      <c r="I9" s="19" t="s">
        <v>228</v>
      </c>
      <c r="J9" s="15">
        <f t="shared" si="2"/>
        <v>155</v>
      </c>
      <c r="K9" s="11" t="s">
        <v>230</v>
      </c>
      <c r="L9" s="18" t="s">
        <v>232</v>
      </c>
      <c r="M9" s="15">
        <v>1500.0</v>
      </c>
      <c r="N9" s="18" t="s">
        <v>190</v>
      </c>
      <c r="O9" s="18" t="s">
        <v>150</v>
      </c>
      <c r="P9" s="18" t="s">
        <v>192</v>
      </c>
      <c r="Q9" s="18" t="s">
        <v>193</v>
      </c>
      <c r="R9" s="18" t="s">
        <v>235</v>
      </c>
      <c r="S9" s="18" t="s">
        <v>195</v>
      </c>
      <c r="T9" s="11"/>
      <c r="U9" s="24" t="s">
        <v>30</v>
      </c>
      <c r="V9" s="24" t="s">
        <v>30</v>
      </c>
      <c r="W9" s="24"/>
      <c r="X9" s="24" t="s">
        <v>32</v>
      </c>
    </row>
    <row r="10" ht="57.75" customHeight="1">
      <c r="A10" s="17" t="s">
        <v>239</v>
      </c>
      <c r="B10" s="8" t="s">
        <v>81</v>
      </c>
      <c r="C10" s="8">
        <v>1.0</v>
      </c>
      <c r="D10" s="9" t="s">
        <v>177</v>
      </c>
      <c r="E10" s="12" t="s">
        <v>148</v>
      </c>
      <c r="F10" s="9" t="s">
        <v>240</v>
      </c>
      <c r="G10" s="19" t="s">
        <v>241</v>
      </c>
      <c r="H10" s="8">
        <f t="shared" si="1"/>
        <v>49</v>
      </c>
      <c r="I10" s="19" t="s">
        <v>243</v>
      </c>
      <c r="J10" s="8">
        <f t="shared" si="2"/>
        <v>150</v>
      </c>
      <c r="K10" s="9" t="s">
        <v>244</v>
      </c>
      <c r="L10" s="14" t="s">
        <v>246</v>
      </c>
      <c r="M10" s="8">
        <v>1500.0</v>
      </c>
      <c r="N10" s="14" t="s">
        <v>190</v>
      </c>
      <c r="O10" s="14" t="s">
        <v>150</v>
      </c>
      <c r="P10" s="14" t="s">
        <v>192</v>
      </c>
      <c r="Q10" s="14" t="s">
        <v>193</v>
      </c>
      <c r="R10" s="14" t="s">
        <v>247</v>
      </c>
      <c r="S10" s="14" t="s">
        <v>195</v>
      </c>
      <c r="T10" s="9"/>
      <c r="U10" s="24" t="s">
        <v>30</v>
      </c>
      <c r="V10" s="24" t="s">
        <v>30</v>
      </c>
      <c r="W10" s="24"/>
      <c r="X10" s="24" t="s">
        <v>32</v>
      </c>
    </row>
    <row r="11" ht="57.75" customHeight="1">
      <c r="A11" s="26" t="s">
        <v>250</v>
      </c>
      <c r="B11" s="15" t="s">
        <v>81</v>
      </c>
      <c r="C11" s="15">
        <v>1.0</v>
      </c>
      <c r="D11" s="11" t="s">
        <v>177</v>
      </c>
      <c r="E11" s="16" t="s">
        <v>154</v>
      </c>
      <c r="F11" s="11" t="s">
        <v>252</v>
      </c>
      <c r="G11" s="19" t="s">
        <v>253</v>
      </c>
      <c r="H11" s="15">
        <f t="shared" si="1"/>
        <v>49</v>
      </c>
      <c r="I11" s="19" t="s">
        <v>254</v>
      </c>
      <c r="J11" s="15">
        <f t="shared" si="2"/>
        <v>155</v>
      </c>
      <c r="K11" s="11" t="s">
        <v>256</v>
      </c>
      <c r="L11" s="18" t="s">
        <v>257</v>
      </c>
      <c r="M11" s="15">
        <v>1500.0</v>
      </c>
      <c r="N11" s="18" t="s">
        <v>190</v>
      </c>
      <c r="O11" s="18" t="s">
        <v>150</v>
      </c>
      <c r="P11" s="18" t="s">
        <v>192</v>
      </c>
      <c r="Q11" s="18" t="s">
        <v>193</v>
      </c>
      <c r="R11" s="18" t="s">
        <v>259</v>
      </c>
      <c r="S11" s="18" t="s">
        <v>195</v>
      </c>
      <c r="T11" s="11"/>
      <c r="U11" s="24" t="s">
        <v>30</v>
      </c>
      <c r="V11" s="24" t="s">
        <v>30</v>
      </c>
      <c r="W11" s="24"/>
      <c r="X11" s="24" t="s">
        <v>32</v>
      </c>
    </row>
    <row r="12" ht="57.75" customHeight="1">
      <c r="A12" s="17" t="s">
        <v>264</v>
      </c>
      <c r="B12" s="8" t="s">
        <v>81</v>
      </c>
      <c r="C12" s="8">
        <v>1.0</v>
      </c>
      <c r="D12" s="9" t="s">
        <v>177</v>
      </c>
      <c r="E12" s="12" t="s">
        <v>157</v>
      </c>
      <c r="F12" s="9" t="s">
        <v>267</v>
      </c>
      <c r="G12" s="19" t="s">
        <v>269</v>
      </c>
      <c r="H12" s="8">
        <f t="shared" si="1"/>
        <v>54</v>
      </c>
      <c r="I12" s="19" t="s">
        <v>270</v>
      </c>
      <c r="J12" s="8">
        <f t="shared" si="2"/>
        <v>154</v>
      </c>
      <c r="K12" s="9" t="s">
        <v>272</v>
      </c>
      <c r="L12" s="14" t="s">
        <v>274</v>
      </c>
      <c r="M12" s="8">
        <v>1500.0</v>
      </c>
      <c r="N12" s="14" t="s">
        <v>190</v>
      </c>
      <c r="O12" s="14" t="s">
        <v>150</v>
      </c>
      <c r="P12" s="14" t="s">
        <v>192</v>
      </c>
      <c r="Q12" s="14" t="s">
        <v>193</v>
      </c>
      <c r="R12" s="14" t="s">
        <v>276</v>
      </c>
      <c r="S12" s="14" t="s">
        <v>195</v>
      </c>
      <c r="T12" s="9"/>
      <c r="U12" s="24" t="s">
        <v>30</v>
      </c>
      <c r="V12" s="24" t="s">
        <v>30</v>
      </c>
      <c r="W12" s="24"/>
      <c r="X12" s="24" t="s">
        <v>32</v>
      </c>
    </row>
    <row r="13" ht="57.75" customHeight="1">
      <c r="A13" s="26" t="s">
        <v>279</v>
      </c>
      <c r="B13" s="15" t="s">
        <v>81</v>
      </c>
      <c r="C13" s="15">
        <v>1.0</v>
      </c>
      <c r="D13" s="11" t="s">
        <v>177</v>
      </c>
      <c r="E13" s="16" t="s">
        <v>281</v>
      </c>
      <c r="F13" s="11" t="s">
        <v>282</v>
      </c>
      <c r="G13" s="19" t="s">
        <v>283</v>
      </c>
      <c r="H13" s="15">
        <f t="shared" si="1"/>
        <v>57</v>
      </c>
      <c r="I13" s="19" t="s">
        <v>284</v>
      </c>
      <c r="J13" s="15">
        <f t="shared" si="2"/>
        <v>151</v>
      </c>
      <c r="K13" s="11" t="s">
        <v>287</v>
      </c>
      <c r="L13" s="18" t="s">
        <v>288</v>
      </c>
      <c r="M13" s="15">
        <v>1500.0</v>
      </c>
      <c r="N13" s="18" t="s">
        <v>190</v>
      </c>
      <c r="O13" s="18" t="s">
        <v>150</v>
      </c>
      <c r="P13" s="18" t="s">
        <v>192</v>
      </c>
      <c r="Q13" s="18" t="s">
        <v>193</v>
      </c>
      <c r="R13" s="18" t="s">
        <v>291</v>
      </c>
      <c r="S13" s="18" t="s">
        <v>195</v>
      </c>
      <c r="T13" s="11"/>
      <c r="U13" s="24" t="s">
        <v>30</v>
      </c>
      <c r="V13" s="24" t="s">
        <v>30</v>
      </c>
      <c r="W13" s="24"/>
      <c r="X13" s="24" t="s">
        <v>32</v>
      </c>
    </row>
    <row r="14" ht="57.75" customHeight="1">
      <c r="A14" s="17" t="s">
        <v>293</v>
      </c>
      <c r="B14" s="8" t="s">
        <v>81</v>
      </c>
      <c r="C14" s="8">
        <v>1.0</v>
      </c>
      <c r="D14" s="9" t="s">
        <v>177</v>
      </c>
      <c r="E14" s="12" t="s">
        <v>173</v>
      </c>
      <c r="F14" s="9" t="s">
        <v>295</v>
      </c>
      <c r="G14" s="19" t="s">
        <v>296</v>
      </c>
      <c r="H14" s="8">
        <f t="shared" si="1"/>
        <v>48</v>
      </c>
      <c r="I14" s="19" t="s">
        <v>298</v>
      </c>
      <c r="J14" s="8">
        <f t="shared" si="2"/>
        <v>155</v>
      </c>
      <c r="K14" s="9" t="s">
        <v>299</v>
      </c>
      <c r="L14" s="14" t="s">
        <v>301</v>
      </c>
      <c r="M14" s="8">
        <v>1500.0</v>
      </c>
      <c r="N14" s="14" t="s">
        <v>190</v>
      </c>
      <c r="O14" s="14" t="s">
        <v>150</v>
      </c>
      <c r="P14" s="14" t="s">
        <v>192</v>
      </c>
      <c r="Q14" s="14" t="s">
        <v>193</v>
      </c>
      <c r="R14" s="14" t="s">
        <v>303</v>
      </c>
      <c r="S14" s="14" t="s">
        <v>195</v>
      </c>
      <c r="T14" s="9"/>
      <c r="U14" s="24" t="s">
        <v>30</v>
      </c>
      <c r="V14" s="24" t="s">
        <v>30</v>
      </c>
      <c r="W14" s="24"/>
      <c r="X14" s="24" t="s">
        <v>32</v>
      </c>
    </row>
    <row r="15" ht="57.75" customHeight="1">
      <c r="A15" s="26" t="s">
        <v>305</v>
      </c>
      <c r="B15" s="15" t="s">
        <v>81</v>
      </c>
      <c r="C15" s="15">
        <v>1.0</v>
      </c>
      <c r="D15" s="11" t="s">
        <v>177</v>
      </c>
      <c r="E15" s="16" t="s">
        <v>306</v>
      </c>
      <c r="F15" s="11" t="s">
        <v>308</v>
      </c>
      <c r="G15" s="19" t="s">
        <v>309</v>
      </c>
      <c r="H15" s="15">
        <f t="shared" si="1"/>
        <v>45</v>
      </c>
      <c r="I15" s="19" t="s">
        <v>311</v>
      </c>
      <c r="J15" s="15">
        <f t="shared" si="2"/>
        <v>151</v>
      </c>
      <c r="K15" s="11" t="s">
        <v>312</v>
      </c>
      <c r="L15" s="18" t="s">
        <v>313</v>
      </c>
      <c r="M15" s="15">
        <v>1500.0</v>
      </c>
      <c r="N15" s="18" t="s">
        <v>190</v>
      </c>
      <c r="O15" s="18" t="s">
        <v>150</v>
      </c>
      <c r="P15" s="18" t="s">
        <v>192</v>
      </c>
      <c r="Q15" s="18" t="s">
        <v>193</v>
      </c>
      <c r="R15" s="18" t="s">
        <v>315</v>
      </c>
      <c r="S15" s="18" t="s">
        <v>195</v>
      </c>
      <c r="T15" s="11"/>
      <c r="U15" s="24" t="s">
        <v>30</v>
      </c>
      <c r="V15" s="24" t="s">
        <v>30</v>
      </c>
      <c r="W15" s="24"/>
      <c r="X15" s="24" t="s">
        <v>32</v>
      </c>
    </row>
    <row r="16" ht="57.75" customHeight="1">
      <c r="A16" s="17" t="s">
        <v>316</v>
      </c>
      <c r="B16" s="8" t="s">
        <v>81</v>
      </c>
      <c r="C16" s="8">
        <v>1.0</v>
      </c>
      <c r="D16" s="9" t="s">
        <v>177</v>
      </c>
      <c r="E16" s="12" t="s">
        <v>302</v>
      </c>
      <c r="F16" s="9" t="s">
        <v>317</v>
      </c>
      <c r="G16" s="19" t="s">
        <v>318</v>
      </c>
      <c r="H16" s="8">
        <f t="shared" si="1"/>
        <v>50</v>
      </c>
      <c r="I16" s="19" t="s">
        <v>319</v>
      </c>
      <c r="J16" s="8">
        <f t="shared" si="2"/>
        <v>154</v>
      </c>
      <c r="K16" s="9" t="s">
        <v>320</v>
      </c>
      <c r="L16" s="14" t="s">
        <v>321</v>
      </c>
      <c r="M16" s="8">
        <v>1500.0</v>
      </c>
      <c r="N16" s="14" t="s">
        <v>190</v>
      </c>
      <c r="O16" s="14" t="s">
        <v>150</v>
      </c>
      <c r="P16" s="14" t="s">
        <v>192</v>
      </c>
      <c r="Q16" s="14" t="s">
        <v>193</v>
      </c>
      <c r="R16" s="14" t="s">
        <v>322</v>
      </c>
      <c r="S16" s="14" t="s">
        <v>195</v>
      </c>
      <c r="T16" s="9"/>
      <c r="U16" s="24" t="s">
        <v>30</v>
      </c>
      <c r="V16" s="24" t="s">
        <v>30</v>
      </c>
      <c r="W16" s="24"/>
      <c r="X16" s="24" t="s">
        <v>32</v>
      </c>
    </row>
    <row r="17" ht="57.75" customHeight="1">
      <c r="A17" s="26" t="s">
        <v>325</v>
      </c>
      <c r="B17" s="15" t="s">
        <v>81</v>
      </c>
      <c r="C17" s="15">
        <v>1.0</v>
      </c>
      <c r="D17" s="11" t="s">
        <v>177</v>
      </c>
      <c r="E17" s="16" t="s">
        <v>163</v>
      </c>
      <c r="F17" s="11" t="s">
        <v>328</v>
      </c>
      <c r="G17" s="19" t="s">
        <v>329</v>
      </c>
      <c r="H17" s="15">
        <f t="shared" si="1"/>
        <v>47</v>
      </c>
      <c r="I17" s="19" t="s">
        <v>333</v>
      </c>
      <c r="J17" s="15">
        <f t="shared" si="2"/>
        <v>153</v>
      </c>
      <c r="K17" s="11" t="s">
        <v>335</v>
      </c>
      <c r="L17" s="18" t="s">
        <v>336</v>
      </c>
      <c r="M17" s="15">
        <v>1500.0</v>
      </c>
      <c r="N17" s="18" t="s">
        <v>190</v>
      </c>
      <c r="O17" s="18" t="s">
        <v>150</v>
      </c>
      <c r="P17" s="18" t="s">
        <v>192</v>
      </c>
      <c r="Q17" s="18" t="s">
        <v>193</v>
      </c>
      <c r="R17" s="18" t="s">
        <v>338</v>
      </c>
      <c r="S17" s="18" t="s">
        <v>195</v>
      </c>
      <c r="T17" s="11"/>
      <c r="U17" s="24" t="s">
        <v>30</v>
      </c>
      <c r="V17" s="24" t="s">
        <v>30</v>
      </c>
      <c r="W17" s="24"/>
      <c r="X17" s="24" t="s">
        <v>32</v>
      </c>
    </row>
    <row r="18" ht="57.75" customHeight="1">
      <c r="A18" s="17" t="s">
        <v>342</v>
      </c>
      <c r="B18" s="8" t="s">
        <v>344</v>
      </c>
      <c r="C18" s="8">
        <v>2.0</v>
      </c>
      <c r="D18" s="9" t="s">
        <v>144</v>
      </c>
      <c r="E18" s="12" t="s">
        <v>346</v>
      </c>
      <c r="F18" s="9" t="s">
        <v>347</v>
      </c>
      <c r="G18" s="19" t="s">
        <v>349</v>
      </c>
      <c r="H18" s="8">
        <f t="shared" si="1"/>
        <v>57</v>
      </c>
      <c r="I18" s="19" t="s">
        <v>350</v>
      </c>
      <c r="J18" s="8">
        <f t="shared" si="2"/>
        <v>151</v>
      </c>
      <c r="K18" s="9" t="s">
        <v>353</v>
      </c>
      <c r="L18" s="14" t="s">
        <v>354</v>
      </c>
      <c r="M18" s="8">
        <v>800.0</v>
      </c>
      <c r="N18" s="14" t="s">
        <v>166</v>
      </c>
      <c r="O18" s="14" t="s">
        <v>88</v>
      </c>
      <c r="P18" s="14" t="s">
        <v>356</v>
      </c>
      <c r="Q18" s="14" t="s">
        <v>357</v>
      </c>
      <c r="R18" s="14" t="s">
        <v>358</v>
      </c>
      <c r="S18" s="14" t="s">
        <v>360</v>
      </c>
      <c r="T18" s="9"/>
      <c r="U18" s="24" t="s">
        <v>30</v>
      </c>
      <c r="V18" s="24" t="s">
        <v>30</v>
      </c>
      <c r="W18" s="24"/>
      <c r="X18" s="24" t="s">
        <v>32</v>
      </c>
    </row>
    <row r="19" ht="57.75" customHeight="1">
      <c r="A19" s="26" t="s">
        <v>363</v>
      </c>
      <c r="B19" s="15" t="s">
        <v>344</v>
      </c>
      <c r="C19" s="15">
        <v>2.0</v>
      </c>
      <c r="D19" s="11" t="s">
        <v>365</v>
      </c>
      <c r="E19" s="16" t="s">
        <v>265</v>
      </c>
      <c r="F19" s="11" t="s">
        <v>262</v>
      </c>
      <c r="G19" s="19" t="s">
        <v>367</v>
      </c>
      <c r="H19" s="15">
        <f t="shared" si="1"/>
        <v>46</v>
      </c>
      <c r="I19" s="19" t="s">
        <v>368</v>
      </c>
      <c r="J19" s="15">
        <f t="shared" si="2"/>
        <v>151</v>
      </c>
      <c r="K19" s="11" t="s">
        <v>371</v>
      </c>
      <c r="L19" s="18" t="s">
        <v>372</v>
      </c>
      <c r="M19" s="15">
        <v>1200.0</v>
      </c>
      <c r="N19" s="18" t="s">
        <v>373</v>
      </c>
      <c r="O19" s="18" t="s">
        <v>346</v>
      </c>
      <c r="P19" s="18" t="s">
        <v>374</v>
      </c>
      <c r="Q19" s="18" t="s">
        <v>375</v>
      </c>
      <c r="R19" s="18" t="s">
        <v>377</v>
      </c>
      <c r="S19" s="18" t="s">
        <v>378</v>
      </c>
      <c r="T19" s="11"/>
      <c r="U19" s="24" t="s">
        <v>30</v>
      </c>
      <c r="V19" s="24" t="s">
        <v>30</v>
      </c>
      <c r="W19" s="24"/>
      <c r="X19" s="24" t="s">
        <v>32</v>
      </c>
    </row>
    <row r="20" ht="57.75" customHeight="1">
      <c r="A20" s="17" t="s">
        <v>382</v>
      </c>
      <c r="B20" s="8" t="s">
        <v>344</v>
      </c>
      <c r="C20" s="8">
        <v>2.0</v>
      </c>
      <c r="D20" s="9" t="s">
        <v>365</v>
      </c>
      <c r="E20" s="12" t="s">
        <v>275</v>
      </c>
      <c r="F20" s="9" t="s">
        <v>271</v>
      </c>
      <c r="G20" s="19" t="s">
        <v>384</v>
      </c>
      <c r="H20" s="8">
        <f t="shared" si="1"/>
        <v>50</v>
      </c>
      <c r="I20" s="19" t="s">
        <v>386</v>
      </c>
      <c r="J20" s="8">
        <f t="shared" si="2"/>
        <v>156</v>
      </c>
      <c r="K20" s="9" t="s">
        <v>388</v>
      </c>
      <c r="L20" s="14" t="s">
        <v>389</v>
      </c>
      <c r="M20" s="8">
        <v>1200.0</v>
      </c>
      <c r="N20" s="14" t="s">
        <v>373</v>
      </c>
      <c r="O20" s="14" t="s">
        <v>346</v>
      </c>
      <c r="P20" s="14" t="s">
        <v>374</v>
      </c>
      <c r="Q20" s="14" t="s">
        <v>375</v>
      </c>
      <c r="R20" s="14" t="s">
        <v>391</v>
      </c>
      <c r="S20" s="14" t="s">
        <v>378</v>
      </c>
      <c r="T20" s="9"/>
      <c r="U20" s="24" t="s">
        <v>30</v>
      </c>
      <c r="V20" s="24" t="s">
        <v>30</v>
      </c>
      <c r="W20" s="24"/>
      <c r="X20" s="24" t="s">
        <v>32</v>
      </c>
    </row>
    <row r="21" ht="57.75" customHeight="1">
      <c r="A21" s="26" t="s">
        <v>394</v>
      </c>
      <c r="B21" s="15" t="s">
        <v>344</v>
      </c>
      <c r="C21" s="15">
        <v>2.0</v>
      </c>
      <c r="D21" s="11" t="s">
        <v>365</v>
      </c>
      <c r="E21" s="16" t="s">
        <v>396</v>
      </c>
      <c r="F21" s="11" t="s">
        <v>397</v>
      </c>
      <c r="G21" s="19" t="s">
        <v>398</v>
      </c>
      <c r="H21" s="15">
        <f t="shared" si="1"/>
        <v>47</v>
      </c>
      <c r="I21" s="19" t="s">
        <v>400</v>
      </c>
      <c r="J21" s="15">
        <f t="shared" si="2"/>
        <v>148</v>
      </c>
      <c r="K21" s="11" t="s">
        <v>401</v>
      </c>
      <c r="L21" s="18" t="s">
        <v>402</v>
      </c>
      <c r="M21" s="15">
        <v>1200.0</v>
      </c>
      <c r="N21" s="18" t="s">
        <v>373</v>
      </c>
      <c r="O21" s="18" t="s">
        <v>346</v>
      </c>
      <c r="P21" s="18" t="s">
        <v>374</v>
      </c>
      <c r="Q21" s="18" t="s">
        <v>375</v>
      </c>
      <c r="R21" s="18" t="s">
        <v>404</v>
      </c>
      <c r="S21" s="18" t="s">
        <v>378</v>
      </c>
      <c r="T21" s="11"/>
      <c r="U21" s="24" t="s">
        <v>30</v>
      </c>
      <c r="V21" s="24" t="s">
        <v>30</v>
      </c>
      <c r="W21" s="24"/>
      <c r="X21" s="24" t="s">
        <v>32</v>
      </c>
    </row>
    <row r="22" ht="57.75" customHeight="1">
      <c r="A22" s="17" t="s">
        <v>407</v>
      </c>
      <c r="B22" s="8" t="s">
        <v>344</v>
      </c>
      <c r="C22" s="8">
        <v>2.0</v>
      </c>
      <c r="D22" s="9" t="s">
        <v>365</v>
      </c>
      <c r="E22" s="12" t="s">
        <v>278</v>
      </c>
      <c r="F22" s="9" t="s">
        <v>410</v>
      </c>
      <c r="G22" s="19" t="s">
        <v>412</v>
      </c>
      <c r="H22" s="8">
        <f t="shared" si="1"/>
        <v>47</v>
      </c>
      <c r="I22" s="19" t="s">
        <v>414</v>
      </c>
      <c r="J22" s="8">
        <f t="shared" si="2"/>
        <v>155</v>
      </c>
      <c r="K22" s="9" t="s">
        <v>415</v>
      </c>
      <c r="L22" s="14" t="s">
        <v>416</v>
      </c>
      <c r="M22" s="8">
        <v>1200.0</v>
      </c>
      <c r="N22" s="14" t="s">
        <v>373</v>
      </c>
      <c r="O22" s="14" t="s">
        <v>346</v>
      </c>
      <c r="P22" s="14" t="s">
        <v>374</v>
      </c>
      <c r="Q22" s="14" t="s">
        <v>375</v>
      </c>
      <c r="R22" s="14" t="s">
        <v>418</v>
      </c>
      <c r="S22" s="14" t="s">
        <v>378</v>
      </c>
      <c r="T22" s="9"/>
      <c r="U22" s="24" t="s">
        <v>30</v>
      </c>
      <c r="V22" s="24" t="s">
        <v>30</v>
      </c>
      <c r="W22" s="24"/>
      <c r="X22" s="24" t="s">
        <v>32</v>
      </c>
    </row>
    <row r="23" ht="57.75" customHeight="1">
      <c r="A23" s="26" t="s">
        <v>426</v>
      </c>
      <c r="B23" s="15" t="s">
        <v>344</v>
      </c>
      <c r="C23" s="15">
        <v>2.0</v>
      </c>
      <c r="D23" s="11" t="s">
        <v>365</v>
      </c>
      <c r="E23" s="16" t="s">
        <v>429</v>
      </c>
      <c r="F23" s="11" t="s">
        <v>431</v>
      </c>
      <c r="G23" s="19" t="s">
        <v>432</v>
      </c>
      <c r="H23" s="15">
        <f t="shared" si="1"/>
        <v>52</v>
      </c>
      <c r="I23" s="19" t="s">
        <v>434</v>
      </c>
      <c r="J23" s="15">
        <f t="shared" si="2"/>
        <v>156</v>
      </c>
      <c r="K23" s="11" t="s">
        <v>435</v>
      </c>
      <c r="L23" s="18" t="s">
        <v>437</v>
      </c>
      <c r="M23" s="15">
        <v>1200.0</v>
      </c>
      <c r="N23" s="18" t="s">
        <v>373</v>
      </c>
      <c r="O23" s="18" t="s">
        <v>346</v>
      </c>
      <c r="P23" s="18" t="s">
        <v>374</v>
      </c>
      <c r="Q23" s="18" t="s">
        <v>375</v>
      </c>
      <c r="R23" s="18" t="s">
        <v>440</v>
      </c>
      <c r="S23" s="18" t="s">
        <v>378</v>
      </c>
      <c r="T23" s="11"/>
      <c r="U23" s="24" t="s">
        <v>30</v>
      </c>
      <c r="V23" s="24" t="s">
        <v>30</v>
      </c>
      <c r="W23" s="24"/>
      <c r="X23" s="24" t="s">
        <v>32</v>
      </c>
    </row>
    <row r="24" ht="57.75" customHeight="1">
      <c r="A24" s="17" t="s">
        <v>442</v>
      </c>
      <c r="B24" s="8" t="s">
        <v>81</v>
      </c>
      <c r="C24" s="8">
        <v>2.0</v>
      </c>
      <c r="D24" s="9" t="s">
        <v>144</v>
      </c>
      <c r="E24" s="12" t="s">
        <v>445</v>
      </c>
      <c r="F24" s="9" t="s">
        <v>447</v>
      </c>
      <c r="G24" s="19" t="s">
        <v>448</v>
      </c>
      <c r="H24" s="8">
        <f t="shared" si="1"/>
        <v>47</v>
      </c>
      <c r="I24" s="19" t="s">
        <v>450</v>
      </c>
      <c r="J24" s="8">
        <f t="shared" si="2"/>
        <v>151</v>
      </c>
      <c r="K24" s="9" t="s">
        <v>451</v>
      </c>
      <c r="L24" s="14" t="s">
        <v>452</v>
      </c>
      <c r="M24" s="8">
        <v>900.0</v>
      </c>
      <c r="N24" s="14" t="s">
        <v>166</v>
      </c>
      <c r="O24" s="14" t="s">
        <v>88</v>
      </c>
      <c r="P24" s="14" t="s">
        <v>454</v>
      </c>
      <c r="Q24" s="14" t="s">
        <v>456</v>
      </c>
      <c r="R24" s="14" t="s">
        <v>458</v>
      </c>
      <c r="S24" s="14" t="s">
        <v>459</v>
      </c>
      <c r="T24" s="9"/>
      <c r="U24" s="24" t="s">
        <v>30</v>
      </c>
      <c r="V24" s="24" t="s">
        <v>30</v>
      </c>
      <c r="W24" s="24"/>
      <c r="X24" s="24" t="s">
        <v>32</v>
      </c>
    </row>
    <row r="25" ht="57.75" customHeight="1">
      <c r="A25" s="26" t="s">
        <v>462</v>
      </c>
      <c r="B25" s="15" t="s">
        <v>81</v>
      </c>
      <c r="C25" s="15">
        <v>2.0</v>
      </c>
      <c r="D25" s="11" t="s">
        <v>297</v>
      </c>
      <c r="E25" s="16" t="s">
        <v>184</v>
      </c>
      <c r="F25" s="11" t="s">
        <v>466</v>
      </c>
      <c r="G25" s="19" t="s">
        <v>468</v>
      </c>
      <c r="H25" s="15">
        <f t="shared" si="1"/>
        <v>54</v>
      </c>
      <c r="I25" s="19" t="s">
        <v>470</v>
      </c>
      <c r="J25" s="15">
        <f t="shared" si="2"/>
        <v>150</v>
      </c>
      <c r="K25" s="11" t="s">
        <v>473</v>
      </c>
      <c r="L25" s="18" t="s">
        <v>474</v>
      </c>
      <c r="M25" s="15">
        <v>1300.0</v>
      </c>
      <c r="N25" s="18" t="s">
        <v>477</v>
      </c>
      <c r="O25" s="18" t="s">
        <v>445</v>
      </c>
      <c r="P25" s="18" t="s">
        <v>481</v>
      </c>
      <c r="Q25" s="18" t="s">
        <v>483</v>
      </c>
      <c r="R25" s="18" t="s">
        <v>486</v>
      </c>
      <c r="S25" s="18" t="s">
        <v>488</v>
      </c>
      <c r="T25" s="11"/>
      <c r="U25" s="24" t="s">
        <v>30</v>
      </c>
      <c r="V25" s="24" t="s">
        <v>30</v>
      </c>
      <c r="W25" s="24"/>
      <c r="X25" s="24" t="s">
        <v>32</v>
      </c>
    </row>
    <row r="26" ht="57.75" customHeight="1">
      <c r="A26" s="17" t="s">
        <v>494</v>
      </c>
      <c r="B26" s="8" t="s">
        <v>81</v>
      </c>
      <c r="C26" s="8">
        <v>2.0</v>
      </c>
      <c r="D26" s="9" t="s">
        <v>297</v>
      </c>
      <c r="E26" s="12" t="s">
        <v>197</v>
      </c>
      <c r="F26" s="9" t="s">
        <v>500</v>
      </c>
      <c r="G26" s="19" t="s">
        <v>501</v>
      </c>
      <c r="H26" s="8">
        <f t="shared" si="1"/>
        <v>56</v>
      </c>
      <c r="I26" s="19" t="s">
        <v>503</v>
      </c>
      <c r="J26" s="8">
        <f t="shared" si="2"/>
        <v>153</v>
      </c>
      <c r="K26" s="9" t="s">
        <v>505</v>
      </c>
      <c r="L26" s="14" t="s">
        <v>507</v>
      </c>
      <c r="M26" s="8">
        <v>1300.0</v>
      </c>
      <c r="N26" s="14" t="s">
        <v>477</v>
      </c>
      <c r="O26" s="14" t="s">
        <v>445</v>
      </c>
      <c r="P26" s="14" t="s">
        <v>481</v>
      </c>
      <c r="Q26" s="14" t="s">
        <v>483</v>
      </c>
      <c r="R26" s="14" t="s">
        <v>514</v>
      </c>
      <c r="S26" s="14" t="s">
        <v>515</v>
      </c>
      <c r="T26" s="9"/>
      <c r="U26" s="24" t="s">
        <v>30</v>
      </c>
      <c r="V26" s="24" t="s">
        <v>30</v>
      </c>
      <c r="W26" s="24"/>
      <c r="X26" s="24" t="s">
        <v>32</v>
      </c>
    </row>
    <row r="27" ht="57.75" customHeight="1">
      <c r="A27" s="26" t="s">
        <v>522</v>
      </c>
      <c r="B27" s="15" t="s">
        <v>81</v>
      </c>
      <c r="C27" s="15">
        <v>2.0</v>
      </c>
      <c r="D27" s="11" t="s">
        <v>297</v>
      </c>
      <c r="E27" s="16" t="s">
        <v>200</v>
      </c>
      <c r="F27" s="11" t="s">
        <v>526</v>
      </c>
      <c r="G27" s="19" t="s">
        <v>528</v>
      </c>
      <c r="H27" s="15">
        <f t="shared" si="1"/>
        <v>49</v>
      </c>
      <c r="I27" s="19" t="s">
        <v>532</v>
      </c>
      <c r="J27" s="15">
        <f t="shared" si="2"/>
        <v>146</v>
      </c>
      <c r="K27" s="11" t="s">
        <v>536</v>
      </c>
      <c r="L27" s="18" t="s">
        <v>538</v>
      </c>
      <c r="M27" s="15">
        <v>1300.0</v>
      </c>
      <c r="N27" s="18" t="s">
        <v>477</v>
      </c>
      <c r="O27" s="18" t="s">
        <v>445</v>
      </c>
      <c r="P27" s="18" t="s">
        <v>481</v>
      </c>
      <c r="Q27" s="18" t="s">
        <v>483</v>
      </c>
      <c r="R27" s="18" t="s">
        <v>542</v>
      </c>
      <c r="S27" s="18" t="s">
        <v>544</v>
      </c>
      <c r="T27" s="11"/>
      <c r="U27" s="24" t="s">
        <v>30</v>
      </c>
      <c r="V27" s="24" t="s">
        <v>30</v>
      </c>
      <c r="W27" s="24"/>
      <c r="X27" s="24" t="s">
        <v>32</v>
      </c>
    </row>
    <row r="28" ht="57.75" customHeight="1">
      <c r="A28" s="17" t="s">
        <v>551</v>
      </c>
      <c r="B28" s="8" t="s">
        <v>81</v>
      </c>
      <c r="C28" s="8">
        <v>2.0</v>
      </c>
      <c r="D28" s="9" t="s">
        <v>297</v>
      </c>
      <c r="E28" s="12" t="s">
        <v>205</v>
      </c>
      <c r="F28" s="9" t="s">
        <v>556</v>
      </c>
      <c r="G28" s="19" t="s">
        <v>559</v>
      </c>
      <c r="H28" s="8">
        <f t="shared" si="1"/>
        <v>52</v>
      </c>
      <c r="I28" s="19" t="s">
        <v>564</v>
      </c>
      <c r="J28" s="8">
        <f t="shared" si="2"/>
        <v>155</v>
      </c>
      <c r="K28" s="9" t="s">
        <v>566</v>
      </c>
      <c r="L28" s="14" t="s">
        <v>567</v>
      </c>
      <c r="M28" s="8">
        <v>1300.0</v>
      </c>
      <c r="N28" s="14" t="s">
        <v>477</v>
      </c>
      <c r="O28" s="14" t="s">
        <v>445</v>
      </c>
      <c r="P28" s="14" t="s">
        <v>481</v>
      </c>
      <c r="Q28" s="14" t="s">
        <v>483</v>
      </c>
      <c r="R28" s="14" t="s">
        <v>568</v>
      </c>
      <c r="S28" s="14" t="s">
        <v>569</v>
      </c>
      <c r="T28" s="9"/>
      <c r="U28" s="24" t="s">
        <v>30</v>
      </c>
      <c r="V28" s="24" t="s">
        <v>30</v>
      </c>
      <c r="W28" s="24"/>
      <c r="X28" s="24" t="s">
        <v>32</v>
      </c>
    </row>
    <row r="29" ht="57.75" customHeight="1">
      <c r="A29" s="26" t="s">
        <v>573</v>
      </c>
      <c r="B29" s="15" t="s">
        <v>81</v>
      </c>
      <c r="C29" s="15">
        <v>2.0</v>
      </c>
      <c r="D29" s="11" t="s">
        <v>297</v>
      </c>
      <c r="E29" s="16" t="s">
        <v>217</v>
      </c>
      <c r="F29" s="11" t="s">
        <v>575</v>
      </c>
      <c r="G29" s="19" t="s">
        <v>576</v>
      </c>
      <c r="H29" s="15">
        <f t="shared" si="1"/>
        <v>56</v>
      </c>
      <c r="I29" s="19" t="s">
        <v>578</v>
      </c>
      <c r="J29" s="15">
        <f t="shared" si="2"/>
        <v>152</v>
      </c>
      <c r="K29" s="11" t="s">
        <v>580</v>
      </c>
      <c r="L29" s="18" t="s">
        <v>581</v>
      </c>
      <c r="M29" s="15">
        <v>1300.0</v>
      </c>
      <c r="N29" s="18" t="s">
        <v>477</v>
      </c>
      <c r="O29" s="18" t="s">
        <v>445</v>
      </c>
      <c r="P29" s="18" t="s">
        <v>481</v>
      </c>
      <c r="Q29" s="18" t="s">
        <v>483</v>
      </c>
      <c r="R29" s="18" t="s">
        <v>582</v>
      </c>
      <c r="S29" s="18" t="s">
        <v>583</v>
      </c>
      <c r="T29" s="11"/>
      <c r="U29" s="24" t="s">
        <v>30</v>
      </c>
      <c r="V29" s="24" t="s">
        <v>30</v>
      </c>
      <c r="W29" s="24"/>
      <c r="X29" s="24" t="s">
        <v>32</v>
      </c>
    </row>
    <row r="30" ht="57.75" customHeight="1">
      <c r="A30" s="17" t="s">
        <v>584</v>
      </c>
      <c r="B30" s="8" t="s">
        <v>81</v>
      </c>
      <c r="C30" s="8">
        <v>2.0</v>
      </c>
      <c r="D30" s="9" t="s">
        <v>297</v>
      </c>
      <c r="E30" s="12" t="s">
        <v>236</v>
      </c>
      <c r="F30" s="9" t="s">
        <v>585</v>
      </c>
      <c r="G30" s="19" t="s">
        <v>586</v>
      </c>
      <c r="H30" s="8">
        <f t="shared" si="1"/>
        <v>52</v>
      </c>
      <c r="I30" s="19" t="s">
        <v>587</v>
      </c>
      <c r="J30" s="8">
        <f t="shared" si="2"/>
        <v>152</v>
      </c>
      <c r="K30" s="9" t="s">
        <v>588</v>
      </c>
      <c r="L30" s="14" t="s">
        <v>589</v>
      </c>
      <c r="M30" s="8">
        <v>1300.0</v>
      </c>
      <c r="N30" s="14" t="s">
        <v>477</v>
      </c>
      <c r="O30" s="14" t="s">
        <v>445</v>
      </c>
      <c r="P30" s="14" t="s">
        <v>481</v>
      </c>
      <c r="Q30" s="14" t="s">
        <v>483</v>
      </c>
      <c r="R30" s="14" t="s">
        <v>590</v>
      </c>
      <c r="S30" s="14" t="s">
        <v>591</v>
      </c>
      <c r="T30" s="9"/>
      <c r="U30" s="24" t="s">
        <v>30</v>
      </c>
      <c r="V30" s="24" t="s">
        <v>30</v>
      </c>
      <c r="W30" s="24"/>
      <c r="X30" s="24" t="s">
        <v>32</v>
      </c>
    </row>
    <row r="31" ht="57.75" customHeight="1">
      <c r="A31" s="26" t="s">
        <v>592</v>
      </c>
      <c r="B31" s="15" t="s">
        <v>81</v>
      </c>
      <c r="C31" s="15">
        <v>2.0</v>
      </c>
      <c r="D31" s="11" t="s">
        <v>297</v>
      </c>
      <c r="E31" s="16" t="s">
        <v>261</v>
      </c>
      <c r="F31" s="11" t="s">
        <v>593</v>
      </c>
      <c r="G31" s="19" t="s">
        <v>594</v>
      </c>
      <c r="H31" s="15">
        <f t="shared" si="1"/>
        <v>53</v>
      </c>
      <c r="I31" s="19" t="s">
        <v>595</v>
      </c>
      <c r="J31" s="15">
        <f t="shared" si="2"/>
        <v>150</v>
      </c>
      <c r="K31" s="11" t="s">
        <v>596</v>
      </c>
      <c r="L31" s="18" t="s">
        <v>597</v>
      </c>
      <c r="M31" s="15">
        <v>1300.0</v>
      </c>
      <c r="N31" s="18" t="s">
        <v>477</v>
      </c>
      <c r="O31" s="18" t="s">
        <v>445</v>
      </c>
      <c r="P31" s="18" t="s">
        <v>481</v>
      </c>
      <c r="Q31" s="18" t="s">
        <v>483</v>
      </c>
      <c r="R31" s="18" t="s">
        <v>598</v>
      </c>
      <c r="S31" s="18" t="s">
        <v>599</v>
      </c>
      <c r="T31" s="11"/>
      <c r="U31" s="24" t="s">
        <v>30</v>
      </c>
      <c r="V31" s="24" t="s">
        <v>30</v>
      </c>
      <c r="W31" s="24"/>
      <c r="X31" s="24" t="s">
        <v>32</v>
      </c>
    </row>
    <row r="32" ht="57.75" customHeight="1">
      <c r="A32" s="17" t="s">
        <v>600</v>
      </c>
      <c r="B32" s="8" t="s">
        <v>344</v>
      </c>
      <c r="C32" s="8">
        <v>2.0</v>
      </c>
      <c r="D32" s="9" t="s">
        <v>297</v>
      </c>
      <c r="E32" s="12" t="s">
        <v>601</v>
      </c>
      <c r="F32" s="9" t="s">
        <v>602</v>
      </c>
      <c r="G32" s="19" t="s">
        <v>603</v>
      </c>
      <c r="H32" s="8">
        <f t="shared" si="1"/>
        <v>55</v>
      </c>
      <c r="I32" s="19" t="s">
        <v>604</v>
      </c>
      <c r="J32" s="8">
        <f t="shared" si="2"/>
        <v>154</v>
      </c>
      <c r="K32" s="9" t="s">
        <v>605</v>
      </c>
      <c r="L32" s="14" t="s">
        <v>606</v>
      </c>
      <c r="M32" s="8">
        <v>1300.0</v>
      </c>
      <c r="N32" s="14" t="s">
        <v>477</v>
      </c>
      <c r="O32" s="14" t="s">
        <v>445</v>
      </c>
      <c r="P32" s="14" t="s">
        <v>481</v>
      </c>
      <c r="Q32" s="14" t="s">
        <v>483</v>
      </c>
      <c r="R32" s="14" t="s">
        <v>607</v>
      </c>
      <c r="S32" s="14" t="s">
        <v>608</v>
      </c>
      <c r="T32" s="9"/>
      <c r="U32" s="24" t="s">
        <v>30</v>
      </c>
      <c r="V32" s="24" t="s">
        <v>30</v>
      </c>
      <c r="W32" s="24"/>
      <c r="X32" s="24" t="s">
        <v>32</v>
      </c>
    </row>
    <row r="33" ht="57.75" customHeight="1">
      <c r="A33" s="26" t="s">
        <v>609</v>
      </c>
      <c r="B33" s="15" t="s">
        <v>344</v>
      </c>
      <c r="C33" s="15">
        <v>2.0</v>
      </c>
      <c r="D33" s="11" t="s">
        <v>297</v>
      </c>
      <c r="E33" s="16" t="s">
        <v>610</v>
      </c>
      <c r="F33" s="11" t="s">
        <v>611</v>
      </c>
      <c r="G33" s="19" t="s">
        <v>612</v>
      </c>
      <c r="H33" s="15">
        <f t="shared" si="1"/>
        <v>40</v>
      </c>
      <c r="I33" s="19" t="s">
        <v>613</v>
      </c>
      <c r="J33" s="15">
        <f t="shared" si="2"/>
        <v>151</v>
      </c>
      <c r="K33" s="11" t="s">
        <v>614</v>
      </c>
      <c r="L33" s="18" t="s">
        <v>615</v>
      </c>
      <c r="M33" s="15">
        <v>1300.0</v>
      </c>
      <c r="N33" s="18" t="s">
        <v>477</v>
      </c>
      <c r="O33" s="18" t="s">
        <v>445</v>
      </c>
      <c r="P33" s="18" t="s">
        <v>481</v>
      </c>
      <c r="Q33" s="18" t="s">
        <v>483</v>
      </c>
      <c r="R33" s="18" t="s">
        <v>616</v>
      </c>
      <c r="S33" s="18" t="s">
        <v>617</v>
      </c>
      <c r="T33" s="11"/>
      <c r="U33" s="24" t="s">
        <v>30</v>
      </c>
      <c r="V33" s="24" t="s">
        <v>30</v>
      </c>
      <c r="W33" s="24"/>
      <c r="X33" s="24" t="s">
        <v>32</v>
      </c>
    </row>
    <row r="34" ht="57.75" customHeight="1">
      <c r="A34" s="17" t="s">
        <v>618</v>
      </c>
      <c r="B34" s="8" t="s">
        <v>344</v>
      </c>
      <c r="C34" s="8">
        <v>2.0</v>
      </c>
      <c r="D34" s="9" t="s">
        <v>297</v>
      </c>
      <c r="E34" s="12" t="s">
        <v>619</v>
      </c>
      <c r="F34" s="9" t="s">
        <v>620</v>
      </c>
      <c r="G34" s="19" t="s">
        <v>621</v>
      </c>
      <c r="H34" s="8">
        <f t="shared" si="1"/>
        <v>57</v>
      </c>
      <c r="I34" s="19" t="s">
        <v>622</v>
      </c>
      <c r="J34" s="8">
        <f t="shared" si="2"/>
        <v>146</v>
      </c>
      <c r="K34" s="9" t="s">
        <v>623</v>
      </c>
      <c r="L34" s="14" t="s">
        <v>624</v>
      </c>
      <c r="M34" s="8">
        <v>1300.0</v>
      </c>
      <c r="N34" s="14" t="s">
        <v>477</v>
      </c>
      <c r="O34" s="14" t="s">
        <v>445</v>
      </c>
      <c r="P34" s="14" t="s">
        <v>481</v>
      </c>
      <c r="Q34" s="14" t="s">
        <v>483</v>
      </c>
      <c r="R34" s="14" t="s">
        <v>625</v>
      </c>
      <c r="S34" s="14" t="s">
        <v>626</v>
      </c>
      <c r="T34" s="9"/>
      <c r="U34" s="24" t="s">
        <v>30</v>
      </c>
      <c r="V34" s="24" t="s">
        <v>30</v>
      </c>
      <c r="W34" s="24"/>
      <c r="X34" s="24" t="s">
        <v>32</v>
      </c>
    </row>
    <row r="35" ht="57.75" customHeight="1">
      <c r="A35" s="26" t="s">
        <v>627</v>
      </c>
      <c r="B35" s="15" t="s">
        <v>344</v>
      </c>
      <c r="C35" s="15">
        <v>2.0</v>
      </c>
      <c r="D35" s="11" t="s">
        <v>297</v>
      </c>
      <c r="E35" s="16" t="s">
        <v>628</v>
      </c>
      <c r="F35" s="11" t="s">
        <v>629</v>
      </c>
      <c r="G35" s="19" t="s">
        <v>630</v>
      </c>
      <c r="H35" s="15">
        <f t="shared" si="1"/>
        <v>51</v>
      </c>
      <c r="I35" s="19" t="s">
        <v>631</v>
      </c>
      <c r="J35" s="15">
        <f t="shared" si="2"/>
        <v>146</v>
      </c>
      <c r="K35" s="11" t="s">
        <v>632</v>
      </c>
      <c r="L35" s="18" t="s">
        <v>633</v>
      </c>
      <c r="M35" s="15">
        <v>1300.0</v>
      </c>
      <c r="N35" s="18" t="s">
        <v>477</v>
      </c>
      <c r="O35" s="18" t="s">
        <v>445</v>
      </c>
      <c r="P35" s="18" t="s">
        <v>481</v>
      </c>
      <c r="Q35" s="18" t="s">
        <v>483</v>
      </c>
      <c r="R35" s="18" t="s">
        <v>634</v>
      </c>
      <c r="S35" s="18" t="s">
        <v>635</v>
      </c>
      <c r="T35" s="11"/>
      <c r="U35" s="24" t="s">
        <v>30</v>
      </c>
      <c r="V35" s="24" t="s">
        <v>30</v>
      </c>
      <c r="W35" s="24"/>
      <c r="X35" s="24" t="s">
        <v>32</v>
      </c>
    </row>
    <row r="36" ht="57.75" customHeight="1">
      <c r="A36" s="17" t="s">
        <v>636</v>
      </c>
      <c r="B36" s="8" t="s">
        <v>344</v>
      </c>
      <c r="C36" s="8">
        <v>2.0</v>
      </c>
      <c r="D36" s="9" t="s">
        <v>297</v>
      </c>
      <c r="E36" s="12" t="s">
        <v>637</v>
      </c>
      <c r="F36" s="9" t="s">
        <v>638</v>
      </c>
      <c r="G36" s="19" t="s">
        <v>639</v>
      </c>
      <c r="H36" s="8">
        <f t="shared" si="1"/>
        <v>54</v>
      </c>
      <c r="I36" s="19" t="s">
        <v>640</v>
      </c>
      <c r="J36" s="8">
        <f t="shared" si="2"/>
        <v>143</v>
      </c>
      <c r="K36" s="9" t="s">
        <v>641</v>
      </c>
      <c r="L36" s="14" t="s">
        <v>642</v>
      </c>
      <c r="M36" s="8">
        <v>1300.0</v>
      </c>
      <c r="N36" s="14" t="s">
        <v>477</v>
      </c>
      <c r="O36" s="14" t="s">
        <v>445</v>
      </c>
      <c r="P36" s="14" t="s">
        <v>481</v>
      </c>
      <c r="Q36" s="14" t="s">
        <v>483</v>
      </c>
      <c r="R36" s="14" t="s">
        <v>643</v>
      </c>
      <c r="S36" s="14" t="s">
        <v>644</v>
      </c>
      <c r="T36" s="9"/>
      <c r="U36" s="24" t="s">
        <v>30</v>
      </c>
      <c r="V36" s="24" t="s">
        <v>30</v>
      </c>
      <c r="W36" s="24"/>
      <c r="X36" s="24" t="s">
        <v>32</v>
      </c>
    </row>
    <row r="37" ht="57.75" customHeight="1">
      <c r="A37" s="26" t="s">
        <v>645</v>
      </c>
      <c r="B37" s="15" t="s">
        <v>344</v>
      </c>
      <c r="C37" s="15">
        <v>3.0</v>
      </c>
      <c r="D37" s="11" t="s">
        <v>144</v>
      </c>
      <c r="E37" s="16" t="s">
        <v>646</v>
      </c>
      <c r="F37" s="11" t="s">
        <v>647</v>
      </c>
      <c r="G37" s="19" t="s">
        <v>648</v>
      </c>
      <c r="H37" s="15">
        <f t="shared" si="1"/>
        <v>54</v>
      </c>
      <c r="I37" s="19" t="s">
        <v>649</v>
      </c>
      <c r="J37" s="15">
        <f t="shared" si="2"/>
        <v>154</v>
      </c>
      <c r="K37" s="11" t="s">
        <v>650</v>
      </c>
      <c r="L37" s="18" t="s">
        <v>651</v>
      </c>
      <c r="M37" s="15">
        <v>700.0</v>
      </c>
      <c r="N37" s="18" t="s">
        <v>166</v>
      </c>
      <c r="O37" s="18" t="s">
        <v>88</v>
      </c>
      <c r="P37" s="18" t="s">
        <v>652</v>
      </c>
      <c r="Q37" s="18" t="s">
        <v>653</v>
      </c>
      <c r="R37" s="18" t="s">
        <v>654</v>
      </c>
      <c r="S37" s="18" t="s">
        <v>655</v>
      </c>
      <c r="T37" s="11"/>
      <c r="U37" s="24" t="s">
        <v>30</v>
      </c>
      <c r="V37" s="24" t="s">
        <v>30</v>
      </c>
      <c r="W37" s="24"/>
      <c r="X37" s="24" t="s">
        <v>32</v>
      </c>
    </row>
    <row r="38" ht="57.75" customHeight="1">
      <c r="A38" s="17" t="s">
        <v>656</v>
      </c>
      <c r="B38" s="8" t="s">
        <v>344</v>
      </c>
      <c r="C38" s="8">
        <v>3.0</v>
      </c>
      <c r="D38" s="9" t="s">
        <v>260</v>
      </c>
      <c r="E38" s="12" t="s">
        <v>330</v>
      </c>
      <c r="F38" s="9" t="s">
        <v>657</v>
      </c>
      <c r="G38" s="19" t="s">
        <v>658</v>
      </c>
      <c r="H38" s="8">
        <f t="shared" si="1"/>
        <v>44</v>
      </c>
      <c r="I38" s="19" t="s">
        <v>659</v>
      </c>
      <c r="J38" s="8">
        <f t="shared" si="2"/>
        <v>156</v>
      </c>
      <c r="K38" s="9" t="s">
        <v>334</v>
      </c>
      <c r="L38" s="14" t="s">
        <v>660</v>
      </c>
      <c r="M38" s="8">
        <v>800.0</v>
      </c>
      <c r="N38" s="14" t="s">
        <v>661</v>
      </c>
      <c r="O38" s="14" t="s">
        <v>646</v>
      </c>
      <c r="P38" s="14" t="s">
        <v>662</v>
      </c>
      <c r="Q38" s="14" t="s">
        <v>663</v>
      </c>
      <c r="R38" s="14" t="s">
        <v>664</v>
      </c>
      <c r="S38" s="14" t="s">
        <v>665</v>
      </c>
      <c r="T38" s="9"/>
      <c r="U38" s="24" t="s">
        <v>30</v>
      </c>
      <c r="V38" s="24" t="s">
        <v>30</v>
      </c>
      <c r="W38" s="24"/>
      <c r="X38" s="24" t="s">
        <v>32</v>
      </c>
    </row>
    <row r="39" ht="57.75" customHeight="1">
      <c r="A39" s="26" t="s">
        <v>666</v>
      </c>
      <c r="B39" s="15" t="s">
        <v>344</v>
      </c>
      <c r="C39" s="15">
        <v>3.0</v>
      </c>
      <c r="D39" s="11" t="s">
        <v>260</v>
      </c>
      <c r="E39" s="16" t="s">
        <v>343</v>
      </c>
      <c r="F39" s="11" t="s">
        <v>667</v>
      </c>
      <c r="G39" s="19" t="s">
        <v>668</v>
      </c>
      <c r="H39" s="15">
        <f t="shared" si="1"/>
        <v>39</v>
      </c>
      <c r="I39" s="19" t="s">
        <v>669</v>
      </c>
      <c r="J39" s="15">
        <f t="shared" si="2"/>
        <v>151</v>
      </c>
      <c r="K39" s="11" t="s">
        <v>348</v>
      </c>
      <c r="L39" s="18" t="s">
        <v>670</v>
      </c>
      <c r="M39" s="15">
        <v>800.0</v>
      </c>
      <c r="N39" s="18" t="s">
        <v>661</v>
      </c>
      <c r="O39" s="18" t="s">
        <v>646</v>
      </c>
      <c r="P39" s="18" t="s">
        <v>662</v>
      </c>
      <c r="Q39" s="18" t="s">
        <v>671</v>
      </c>
      <c r="R39" s="18" t="s">
        <v>672</v>
      </c>
      <c r="S39" s="18" t="s">
        <v>673</v>
      </c>
      <c r="T39" s="11"/>
      <c r="U39" s="24" t="s">
        <v>30</v>
      </c>
      <c r="V39" s="24" t="s">
        <v>30</v>
      </c>
      <c r="W39" s="24"/>
      <c r="X39" s="24" t="s">
        <v>32</v>
      </c>
    </row>
    <row r="40" ht="57.75" customHeight="1">
      <c r="A40" s="17" t="s">
        <v>674</v>
      </c>
      <c r="B40" s="8" t="s">
        <v>344</v>
      </c>
      <c r="C40" s="8">
        <v>3.0</v>
      </c>
      <c r="D40" s="9" t="s">
        <v>260</v>
      </c>
      <c r="E40" s="12" t="s">
        <v>361</v>
      </c>
      <c r="F40" s="9" t="s">
        <v>675</v>
      </c>
      <c r="G40" s="19" t="s">
        <v>676</v>
      </c>
      <c r="H40" s="8">
        <f t="shared" si="1"/>
        <v>44</v>
      </c>
      <c r="I40" s="19" t="s">
        <v>677</v>
      </c>
      <c r="J40" s="8">
        <f t="shared" si="2"/>
        <v>155</v>
      </c>
      <c r="K40" s="9" t="s">
        <v>364</v>
      </c>
      <c r="L40" s="14" t="s">
        <v>678</v>
      </c>
      <c r="M40" s="8">
        <v>800.0</v>
      </c>
      <c r="N40" s="14" t="s">
        <v>661</v>
      </c>
      <c r="O40" s="14" t="s">
        <v>646</v>
      </c>
      <c r="P40" s="14" t="s">
        <v>662</v>
      </c>
      <c r="Q40" s="14" t="s">
        <v>679</v>
      </c>
      <c r="R40" s="14" t="s">
        <v>680</v>
      </c>
      <c r="S40" s="14" t="s">
        <v>681</v>
      </c>
      <c r="T40" s="9"/>
      <c r="U40" s="24" t="s">
        <v>30</v>
      </c>
      <c r="V40" s="24" t="s">
        <v>30</v>
      </c>
      <c r="W40" s="24"/>
      <c r="X40" s="24" t="s">
        <v>32</v>
      </c>
    </row>
    <row r="41" ht="57.75" customHeight="1">
      <c r="A41" s="26" t="s">
        <v>682</v>
      </c>
      <c r="B41" s="15" t="s">
        <v>683</v>
      </c>
      <c r="C41" s="15">
        <v>3.0</v>
      </c>
      <c r="D41" s="11" t="s">
        <v>260</v>
      </c>
      <c r="E41" s="16" t="s">
        <v>379</v>
      </c>
      <c r="F41" s="11" t="s">
        <v>684</v>
      </c>
      <c r="G41" s="19" t="s">
        <v>685</v>
      </c>
      <c r="H41" s="15">
        <f t="shared" si="1"/>
        <v>44</v>
      </c>
      <c r="I41" s="19" t="s">
        <v>686</v>
      </c>
      <c r="J41" s="15">
        <f t="shared" si="2"/>
        <v>148</v>
      </c>
      <c r="K41" s="11" t="s">
        <v>383</v>
      </c>
      <c r="L41" s="18" t="s">
        <v>687</v>
      </c>
      <c r="M41" s="15">
        <v>800.0</v>
      </c>
      <c r="N41" s="18" t="s">
        <v>661</v>
      </c>
      <c r="O41" s="18" t="s">
        <v>646</v>
      </c>
      <c r="P41" s="18" t="s">
        <v>662</v>
      </c>
      <c r="Q41" s="18" t="s">
        <v>688</v>
      </c>
      <c r="R41" s="18" t="s">
        <v>689</v>
      </c>
      <c r="S41" s="18" t="s">
        <v>690</v>
      </c>
      <c r="T41" s="11"/>
      <c r="U41" s="24" t="s">
        <v>30</v>
      </c>
      <c r="V41" s="24" t="s">
        <v>30</v>
      </c>
      <c r="W41" s="24"/>
      <c r="X41" s="24" t="s">
        <v>32</v>
      </c>
    </row>
    <row r="42" ht="57.75" customHeight="1">
      <c r="A42" s="17" t="s">
        <v>691</v>
      </c>
      <c r="B42" s="8" t="s">
        <v>683</v>
      </c>
      <c r="C42" s="8">
        <v>3.0</v>
      </c>
      <c r="D42" s="9" t="s">
        <v>260</v>
      </c>
      <c r="E42" s="12" t="s">
        <v>393</v>
      </c>
      <c r="F42" s="9" t="s">
        <v>692</v>
      </c>
      <c r="G42" s="19" t="s">
        <v>693</v>
      </c>
      <c r="H42" s="8">
        <f t="shared" si="1"/>
        <v>42</v>
      </c>
      <c r="I42" s="19" t="s">
        <v>694</v>
      </c>
      <c r="J42" s="8">
        <f t="shared" si="2"/>
        <v>149</v>
      </c>
      <c r="K42" s="9" t="s">
        <v>399</v>
      </c>
      <c r="L42" s="14" t="s">
        <v>695</v>
      </c>
      <c r="M42" s="8">
        <v>800.0</v>
      </c>
      <c r="N42" s="14" t="s">
        <v>661</v>
      </c>
      <c r="O42" s="14" t="s">
        <v>646</v>
      </c>
      <c r="P42" s="14" t="s">
        <v>662</v>
      </c>
      <c r="Q42" s="14" t="s">
        <v>696</v>
      </c>
      <c r="R42" s="14" t="s">
        <v>697</v>
      </c>
      <c r="S42" s="14" t="s">
        <v>698</v>
      </c>
      <c r="T42" s="9"/>
      <c r="U42" s="24" t="s">
        <v>30</v>
      </c>
      <c r="V42" s="24" t="s">
        <v>30</v>
      </c>
      <c r="W42" s="24"/>
      <c r="X42" s="24" t="s">
        <v>32</v>
      </c>
    </row>
    <row r="43" ht="57.75" customHeight="1">
      <c r="A43" s="26" t="s">
        <v>699</v>
      </c>
      <c r="B43" s="15" t="s">
        <v>683</v>
      </c>
      <c r="C43" s="15">
        <v>3.0</v>
      </c>
      <c r="D43" s="11" t="s">
        <v>260</v>
      </c>
      <c r="E43" s="16" t="s">
        <v>409</v>
      </c>
      <c r="F43" s="11" t="s">
        <v>700</v>
      </c>
      <c r="G43" s="19" t="s">
        <v>701</v>
      </c>
      <c r="H43" s="15">
        <f t="shared" si="1"/>
        <v>43</v>
      </c>
      <c r="I43" s="19" t="s">
        <v>702</v>
      </c>
      <c r="J43" s="15">
        <f t="shared" si="2"/>
        <v>155</v>
      </c>
      <c r="K43" s="11" t="s">
        <v>413</v>
      </c>
      <c r="L43" s="18" t="s">
        <v>704</v>
      </c>
      <c r="M43" s="15">
        <v>800.0</v>
      </c>
      <c r="N43" s="18" t="s">
        <v>661</v>
      </c>
      <c r="O43" s="18" t="s">
        <v>646</v>
      </c>
      <c r="P43" s="18" t="s">
        <v>662</v>
      </c>
      <c r="Q43" s="18" t="s">
        <v>705</v>
      </c>
      <c r="R43" s="18" t="s">
        <v>706</v>
      </c>
      <c r="S43" s="18" t="s">
        <v>707</v>
      </c>
      <c r="T43" s="11"/>
      <c r="U43" s="24" t="s">
        <v>30</v>
      </c>
      <c r="V43" s="24" t="s">
        <v>30</v>
      </c>
      <c r="W43" s="24"/>
      <c r="X43" s="24" t="s">
        <v>32</v>
      </c>
    </row>
    <row r="44" ht="57.75" customHeight="1">
      <c r="A44" s="17" t="s">
        <v>708</v>
      </c>
      <c r="B44" s="8" t="s">
        <v>683</v>
      </c>
      <c r="C44" s="8">
        <v>3.0</v>
      </c>
      <c r="D44" s="9" t="s">
        <v>260</v>
      </c>
      <c r="E44" s="12" t="s">
        <v>427</v>
      </c>
      <c r="F44" s="9" t="s">
        <v>710</v>
      </c>
      <c r="G44" s="19" t="s">
        <v>711</v>
      </c>
      <c r="H44" s="8">
        <f t="shared" si="1"/>
        <v>48</v>
      </c>
      <c r="I44" s="19" t="s">
        <v>719</v>
      </c>
      <c r="J44" s="8">
        <f t="shared" si="2"/>
        <v>148</v>
      </c>
      <c r="K44" s="9" t="s">
        <v>433</v>
      </c>
      <c r="L44" s="14" t="s">
        <v>720</v>
      </c>
      <c r="M44" s="8">
        <v>800.0</v>
      </c>
      <c r="N44" s="14" t="s">
        <v>661</v>
      </c>
      <c r="O44" s="14" t="s">
        <v>646</v>
      </c>
      <c r="P44" s="14" t="s">
        <v>662</v>
      </c>
      <c r="Q44" s="14" t="s">
        <v>722</v>
      </c>
      <c r="R44" s="14" t="s">
        <v>724</v>
      </c>
      <c r="S44" s="14" t="s">
        <v>725</v>
      </c>
      <c r="T44" s="9"/>
      <c r="U44" s="24" t="s">
        <v>30</v>
      </c>
      <c r="V44" s="24" t="s">
        <v>30</v>
      </c>
      <c r="W44" s="24"/>
      <c r="X44" s="24" t="s">
        <v>32</v>
      </c>
    </row>
    <row r="45" ht="57.75" customHeight="1">
      <c r="A45" s="26" t="s">
        <v>729</v>
      </c>
      <c r="B45" s="15" t="s">
        <v>683</v>
      </c>
      <c r="C45" s="15">
        <v>3.0</v>
      </c>
      <c r="D45" s="11" t="s">
        <v>260</v>
      </c>
      <c r="E45" s="16" t="s">
        <v>443</v>
      </c>
      <c r="F45" s="11" t="s">
        <v>735</v>
      </c>
      <c r="G45" s="19" t="s">
        <v>737</v>
      </c>
      <c r="H45" s="15">
        <f t="shared" si="1"/>
        <v>54</v>
      </c>
      <c r="I45" s="19" t="s">
        <v>742</v>
      </c>
      <c r="J45" s="15">
        <f t="shared" si="2"/>
        <v>149</v>
      </c>
      <c r="K45" s="11" t="s">
        <v>449</v>
      </c>
      <c r="L45" s="18" t="s">
        <v>750</v>
      </c>
      <c r="M45" s="15">
        <v>800.0</v>
      </c>
      <c r="N45" s="18" t="s">
        <v>661</v>
      </c>
      <c r="O45" s="18" t="s">
        <v>646</v>
      </c>
      <c r="P45" s="18" t="s">
        <v>662</v>
      </c>
      <c r="Q45" s="18" t="s">
        <v>756</v>
      </c>
      <c r="R45" s="18" t="s">
        <v>759</v>
      </c>
      <c r="S45" s="18" t="s">
        <v>760</v>
      </c>
      <c r="T45" s="11"/>
      <c r="U45" s="24" t="s">
        <v>30</v>
      </c>
      <c r="V45" s="24" t="s">
        <v>30</v>
      </c>
      <c r="W45" s="24"/>
      <c r="X45" s="24" t="s">
        <v>32</v>
      </c>
    </row>
    <row r="46" ht="57.75" customHeight="1">
      <c r="A46" s="17" t="s">
        <v>768</v>
      </c>
      <c r="B46" s="8" t="s">
        <v>683</v>
      </c>
      <c r="C46" s="8">
        <v>3.0</v>
      </c>
      <c r="D46" s="9" t="s">
        <v>260</v>
      </c>
      <c r="E46" s="12" t="s">
        <v>461</v>
      </c>
      <c r="F46" s="9" t="s">
        <v>769</v>
      </c>
      <c r="G46" s="19" t="s">
        <v>770</v>
      </c>
      <c r="H46" s="8">
        <f t="shared" si="1"/>
        <v>54</v>
      </c>
      <c r="I46" s="19" t="s">
        <v>771</v>
      </c>
      <c r="J46" s="8">
        <f t="shared" si="2"/>
        <v>151</v>
      </c>
      <c r="K46" s="9" t="s">
        <v>465</v>
      </c>
      <c r="L46" s="14" t="s">
        <v>772</v>
      </c>
      <c r="M46" s="8">
        <v>800.0</v>
      </c>
      <c r="N46" s="14" t="s">
        <v>661</v>
      </c>
      <c r="O46" s="14" t="s">
        <v>646</v>
      </c>
      <c r="P46" s="14" t="s">
        <v>662</v>
      </c>
      <c r="Q46" s="14" t="s">
        <v>773</v>
      </c>
      <c r="R46" s="14" t="s">
        <v>774</v>
      </c>
      <c r="S46" s="14" t="s">
        <v>775</v>
      </c>
      <c r="T46" s="9"/>
      <c r="U46" s="24" t="s">
        <v>30</v>
      </c>
      <c r="V46" s="24" t="s">
        <v>30</v>
      </c>
      <c r="W46" s="24"/>
      <c r="X46" s="24" t="s">
        <v>32</v>
      </c>
    </row>
    <row r="47" ht="57.75" customHeight="1">
      <c r="A47" s="26" t="s">
        <v>776</v>
      </c>
      <c r="B47" s="15" t="s">
        <v>683</v>
      </c>
      <c r="C47" s="15">
        <v>3.0</v>
      </c>
      <c r="D47" s="11" t="s">
        <v>260</v>
      </c>
      <c r="E47" s="16" t="s">
        <v>478</v>
      </c>
      <c r="F47" s="11" t="s">
        <v>777</v>
      </c>
      <c r="G47" s="19" t="s">
        <v>778</v>
      </c>
      <c r="H47" s="15">
        <f t="shared" si="1"/>
        <v>41</v>
      </c>
      <c r="I47" s="19" t="s">
        <v>779</v>
      </c>
      <c r="J47" s="15">
        <f t="shared" si="2"/>
        <v>153</v>
      </c>
      <c r="K47" s="11" t="s">
        <v>484</v>
      </c>
      <c r="L47" s="18" t="s">
        <v>780</v>
      </c>
      <c r="M47" s="15">
        <v>800.0</v>
      </c>
      <c r="N47" s="18" t="s">
        <v>661</v>
      </c>
      <c r="O47" s="18" t="s">
        <v>646</v>
      </c>
      <c r="P47" s="18" t="s">
        <v>662</v>
      </c>
      <c r="Q47" s="18" t="s">
        <v>781</v>
      </c>
      <c r="R47" s="18" t="s">
        <v>782</v>
      </c>
      <c r="S47" s="18" t="s">
        <v>783</v>
      </c>
      <c r="T47" s="11"/>
      <c r="U47" s="24" t="s">
        <v>30</v>
      </c>
      <c r="V47" s="24" t="s">
        <v>30</v>
      </c>
      <c r="W47" s="24"/>
      <c r="X47" s="24" t="s">
        <v>32</v>
      </c>
    </row>
    <row r="48" ht="57.75" customHeight="1">
      <c r="A48" s="17" t="s">
        <v>784</v>
      </c>
      <c r="B48" s="8" t="s">
        <v>683</v>
      </c>
      <c r="C48" s="8">
        <v>3.0</v>
      </c>
      <c r="D48" s="9" t="s">
        <v>260</v>
      </c>
      <c r="E48" s="12" t="s">
        <v>498</v>
      </c>
      <c r="F48" s="9" t="s">
        <v>785</v>
      </c>
      <c r="G48" s="19" t="s">
        <v>786</v>
      </c>
      <c r="H48" s="8">
        <f t="shared" si="1"/>
        <v>43</v>
      </c>
      <c r="I48" s="19" t="s">
        <v>787</v>
      </c>
      <c r="J48" s="8">
        <f t="shared" si="2"/>
        <v>156</v>
      </c>
      <c r="K48" s="9" t="s">
        <v>502</v>
      </c>
      <c r="L48" s="14" t="s">
        <v>788</v>
      </c>
      <c r="M48" s="8">
        <v>800.0</v>
      </c>
      <c r="N48" s="14" t="s">
        <v>661</v>
      </c>
      <c r="O48" s="14" t="s">
        <v>646</v>
      </c>
      <c r="P48" s="14" t="s">
        <v>662</v>
      </c>
      <c r="Q48" s="14" t="s">
        <v>791</v>
      </c>
      <c r="R48" s="14" t="s">
        <v>793</v>
      </c>
      <c r="S48" s="14" t="s">
        <v>794</v>
      </c>
      <c r="T48" s="9"/>
      <c r="U48" s="24" t="s">
        <v>30</v>
      </c>
      <c r="V48" s="24" t="s">
        <v>30</v>
      </c>
      <c r="W48" s="24"/>
      <c r="X48" s="24" t="s">
        <v>32</v>
      </c>
    </row>
    <row r="49" ht="57.75" customHeight="1">
      <c r="A49" s="26" t="s">
        <v>795</v>
      </c>
      <c r="B49" s="15" t="s">
        <v>683</v>
      </c>
      <c r="C49" s="15">
        <v>3.0</v>
      </c>
      <c r="D49" s="11" t="s">
        <v>260</v>
      </c>
      <c r="E49" s="16" t="s">
        <v>517</v>
      </c>
      <c r="F49" s="11" t="s">
        <v>799</v>
      </c>
      <c r="G49" s="19" t="s">
        <v>801</v>
      </c>
      <c r="H49" s="15">
        <f t="shared" si="1"/>
        <v>40</v>
      </c>
      <c r="I49" s="19" t="s">
        <v>804</v>
      </c>
      <c r="J49" s="15">
        <f t="shared" si="2"/>
        <v>153</v>
      </c>
      <c r="K49" s="11" t="s">
        <v>523</v>
      </c>
      <c r="L49" s="18" t="s">
        <v>807</v>
      </c>
      <c r="M49" s="15">
        <v>800.0</v>
      </c>
      <c r="N49" s="18" t="s">
        <v>661</v>
      </c>
      <c r="O49" s="18" t="s">
        <v>646</v>
      </c>
      <c r="P49" s="18" t="s">
        <v>662</v>
      </c>
      <c r="Q49" s="18" t="s">
        <v>814</v>
      </c>
      <c r="R49" s="18" t="s">
        <v>816</v>
      </c>
      <c r="S49" s="18" t="s">
        <v>817</v>
      </c>
      <c r="T49" s="11"/>
      <c r="U49" s="24" t="s">
        <v>30</v>
      </c>
      <c r="V49" s="24" t="s">
        <v>30</v>
      </c>
      <c r="W49" s="24"/>
      <c r="X49" s="24" t="s">
        <v>32</v>
      </c>
    </row>
    <row r="50" ht="57.75" customHeight="1">
      <c r="A50" s="17" t="s">
        <v>823</v>
      </c>
      <c r="B50" s="8" t="s">
        <v>683</v>
      </c>
      <c r="C50" s="8">
        <v>3.0</v>
      </c>
      <c r="D50" s="9" t="s">
        <v>260</v>
      </c>
      <c r="E50" s="12" t="s">
        <v>545</v>
      </c>
      <c r="F50" s="9" t="s">
        <v>828</v>
      </c>
      <c r="G50" s="19" t="s">
        <v>830</v>
      </c>
      <c r="H50" s="8">
        <f t="shared" si="1"/>
        <v>45</v>
      </c>
      <c r="I50" s="19" t="s">
        <v>834</v>
      </c>
      <c r="J50" s="8">
        <f t="shared" si="2"/>
        <v>148</v>
      </c>
      <c r="K50" s="9" t="s">
        <v>550</v>
      </c>
      <c r="L50" s="14" t="s">
        <v>839</v>
      </c>
      <c r="M50" s="8">
        <v>800.0</v>
      </c>
      <c r="N50" s="14" t="s">
        <v>661</v>
      </c>
      <c r="O50" s="14" t="s">
        <v>646</v>
      </c>
      <c r="P50" s="14" t="s">
        <v>662</v>
      </c>
      <c r="Q50" s="14" t="s">
        <v>846</v>
      </c>
      <c r="R50" s="14" t="s">
        <v>847</v>
      </c>
      <c r="S50" s="14" t="s">
        <v>849</v>
      </c>
      <c r="T50" s="9"/>
      <c r="U50" s="24" t="s">
        <v>30</v>
      </c>
      <c r="V50" s="24" t="s">
        <v>30</v>
      </c>
      <c r="W50" s="24"/>
      <c r="X50" s="24" t="s">
        <v>32</v>
      </c>
    </row>
    <row r="51" ht="57.75" customHeight="1">
      <c r="A51" s="26" t="s">
        <v>855</v>
      </c>
      <c r="B51" s="15" t="s">
        <v>344</v>
      </c>
      <c r="C51" s="15">
        <v>3.0</v>
      </c>
      <c r="D51" s="11" t="s">
        <v>260</v>
      </c>
      <c r="E51" s="16" t="s">
        <v>571</v>
      </c>
      <c r="F51" s="11" t="s">
        <v>858</v>
      </c>
      <c r="G51" s="19" t="s">
        <v>859</v>
      </c>
      <c r="H51" s="15">
        <f t="shared" si="1"/>
        <v>41</v>
      </c>
      <c r="I51" s="19" t="s">
        <v>862</v>
      </c>
      <c r="J51" s="15">
        <f t="shared" si="2"/>
        <v>154</v>
      </c>
      <c r="K51" s="11" t="s">
        <v>574</v>
      </c>
      <c r="L51" s="18" t="s">
        <v>868</v>
      </c>
      <c r="M51" s="15">
        <v>800.0</v>
      </c>
      <c r="N51" s="18" t="s">
        <v>661</v>
      </c>
      <c r="O51" s="18" t="s">
        <v>646</v>
      </c>
      <c r="P51" s="18" t="s">
        <v>662</v>
      </c>
      <c r="Q51" s="18" t="s">
        <v>875</v>
      </c>
      <c r="R51" s="18" t="s">
        <v>876</v>
      </c>
      <c r="S51" s="18" t="s">
        <v>878</v>
      </c>
      <c r="T51" s="11"/>
      <c r="U51" s="24" t="s">
        <v>30</v>
      </c>
      <c r="V51" s="24" t="s">
        <v>30</v>
      </c>
      <c r="W51" s="24"/>
      <c r="X51" s="24" t="s">
        <v>32</v>
      </c>
    </row>
    <row r="52" ht="57.75" customHeight="1">
      <c r="A52" s="17" t="s">
        <v>882</v>
      </c>
      <c r="B52" s="8" t="s">
        <v>683</v>
      </c>
      <c r="C52" s="8">
        <v>4.0</v>
      </c>
      <c r="D52" s="9" t="s">
        <v>273</v>
      </c>
      <c r="E52" s="12" t="s">
        <v>883</v>
      </c>
      <c r="F52" s="9" t="s">
        <v>884</v>
      </c>
      <c r="G52" s="19" t="s">
        <v>886</v>
      </c>
      <c r="H52" s="8">
        <f t="shared" si="1"/>
        <v>36</v>
      </c>
      <c r="I52" s="19" t="s">
        <v>890</v>
      </c>
      <c r="J52" s="8">
        <f t="shared" si="2"/>
        <v>153</v>
      </c>
      <c r="K52" s="9" t="s">
        <v>891</v>
      </c>
      <c r="L52" s="14" t="s">
        <v>892</v>
      </c>
      <c r="M52" s="8">
        <v>700.0</v>
      </c>
      <c r="N52" s="14" t="s">
        <v>894</v>
      </c>
      <c r="O52" s="14" t="s">
        <v>39</v>
      </c>
      <c r="P52" s="14" t="s">
        <v>896</v>
      </c>
      <c r="Q52" s="14" t="s">
        <v>898</v>
      </c>
      <c r="R52" s="14" t="s">
        <v>899</v>
      </c>
      <c r="S52" s="14" t="s">
        <v>901</v>
      </c>
      <c r="T52" s="9"/>
      <c r="U52" s="24" t="s">
        <v>30</v>
      </c>
      <c r="V52" s="24" t="s">
        <v>30</v>
      </c>
      <c r="W52" s="24"/>
      <c r="X52" s="24" t="s">
        <v>32</v>
      </c>
    </row>
    <row r="53" ht="57.75" customHeight="1">
      <c r="A53" s="26" t="s">
        <v>903</v>
      </c>
      <c r="B53" s="15" t="s">
        <v>683</v>
      </c>
      <c r="C53" s="15">
        <v>4.0</v>
      </c>
      <c r="D53" s="11" t="s">
        <v>273</v>
      </c>
      <c r="E53" s="16" t="s">
        <v>339</v>
      </c>
      <c r="F53" s="11" t="s">
        <v>905</v>
      </c>
      <c r="G53" s="19" t="s">
        <v>906</v>
      </c>
      <c r="H53" s="15">
        <f t="shared" si="1"/>
        <v>41</v>
      </c>
      <c r="I53" s="19" t="s">
        <v>909</v>
      </c>
      <c r="J53" s="15">
        <f t="shared" si="2"/>
        <v>155</v>
      </c>
      <c r="K53" s="11" t="s">
        <v>910</v>
      </c>
      <c r="L53" s="18" t="s">
        <v>911</v>
      </c>
      <c r="M53" s="15">
        <v>700.0</v>
      </c>
      <c r="N53" s="18" t="s">
        <v>894</v>
      </c>
      <c r="O53" s="18" t="s">
        <v>131</v>
      </c>
      <c r="P53" s="18" t="s">
        <v>914</v>
      </c>
      <c r="Q53" s="18" t="s">
        <v>898</v>
      </c>
      <c r="R53" s="18" t="s">
        <v>915</v>
      </c>
      <c r="S53" s="18" t="s">
        <v>901</v>
      </c>
      <c r="T53" s="11"/>
      <c r="U53" s="24" t="s">
        <v>30</v>
      </c>
      <c r="V53" s="24" t="s">
        <v>30</v>
      </c>
      <c r="W53" s="24"/>
      <c r="X53" s="24" t="s">
        <v>32</v>
      </c>
    </row>
    <row r="54" ht="57.75" customHeight="1">
      <c r="A54" s="17" t="s">
        <v>918</v>
      </c>
      <c r="B54" s="8" t="s">
        <v>683</v>
      </c>
      <c r="C54" s="8">
        <v>4.0</v>
      </c>
      <c r="D54" s="9" t="s">
        <v>273</v>
      </c>
      <c r="E54" s="12" t="s">
        <v>919</v>
      </c>
      <c r="F54" s="9" t="s">
        <v>921</v>
      </c>
      <c r="G54" s="19" t="s">
        <v>922</v>
      </c>
      <c r="H54" s="8">
        <f t="shared" si="1"/>
        <v>39</v>
      </c>
      <c r="I54" s="19" t="s">
        <v>924</v>
      </c>
      <c r="J54" s="8">
        <f t="shared" si="2"/>
        <v>155</v>
      </c>
      <c r="K54" s="9" t="s">
        <v>926</v>
      </c>
      <c r="L54" s="14" t="s">
        <v>928</v>
      </c>
      <c r="M54" s="8">
        <v>700.0</v>
      </c>
      <c r="N54" s="14" t="s">
        <v>894</v>
      </c>
      <c r="O54" s="14" t="s">
        <v>157</v>
      </c>
      <c r="P54" s="14" t="s">
        <v>929</v>
      </c>
      <c r="Q54" s="14" t="s">
        <v>898</v>
      </c>
      <c r="R54" s="14" t="s">
        <v>930</v>
      </c>
      <c r="S54" s="14" t="s">
        <v>901</v>
      </c>
      <c r="T54" s="9"/>
      <c r="U54" s="24" t="s">
        <v>30</v>
      </c>
      <c r="V54" s="24" t="s">
        <v>30</v>
      </c>
      <c r="W54" s="24"/>
      <c r="X54" s="24" t="s">
        <v>32</v>
      </c>
    </row>
    <row r="55" ht="57.75" customHeight="1">
      <c r="A55" s="26" t="s">
        <v>934</v>
      </c>
      <c r="B55" s="15" t="s">
        <v>683</v>
      </c>
      <c r="C55" s="15">
        <v>4.0</v>
      </c>
      <c r="D55" s="11" t="s">
        <v>273</v>
      </c>
      <c r="E55" s="16" t="s">
        <v>937</v>
      </c>
      <c r="F55" s="11" t="s">
        <v>938</v>
      </c>
      <c r="G55" s="19" t="s">
        <v>939</v>
      </c>
      <c r="H55" s="15">
        <f t="shared" si="1"/>
        <v>31</v>
      </c>
      <c r="I55" s="19" t="s">
        <v>942</v>
      </c>
      <c r="J55" s="15">
        <f t="shared" si="2"/>
        <v>144</v>
      </c>
      <c r="K55" s="11" t="s">
        <v>943</v>
      </c>
      <c r="L55" s="18" t="s">
        <v>944</v>
      </c>
      <c r="M55" s="15">
        <v>700.0</v>
      </c>
      <c r="N55" s="18" t="s">
        <v>894</v>
      </c>
      <c r="O55" s="18" t="s">
        <v>39</v>
      </c>
      <c r="P55" s="18" t="s">
        <v>945</v>
      </c>
      <c r="Q55" s="18" t="s">
        <v>898</v>
      </c>
      <c r="R55" s="18" t="s">
        <v>946</v>
      </c>
      <c r="S55" s="18" t="s">
        <v>901</v>
      </c>
      <c r="T55" s="11"/>
      <c r="U55" s="24" t="s">
        <v>30</v>
      </c>
      <c r="V55" s="24" t="s">
        <v>30</v>
      </c>
      <c r="W55" s="24"/>
      <c r="X55" s="24" t="s">
        <v>32</v>
      </c>
    </row>
    <row r="56" ht="57.75" customHeight="1">
      <c r="A56" s="17" t="s">
        <v>949</v>
      </c>
      <c r="B56" s="8" t="s">
        <v>683</v>
      </c>
      <c r="C56" s="8">
        <v>4.0</v>
      </c>
      <c r="D56" s="9" t="s">
        <v>273</v>
      </c>
      <c r="E56" s="12" t="s">
        <v>355</v>
      </c>
      <c r="F56" s="9" t="s">
        <v>952</v>
      </c>
      <c r="G56" s="19" t="s">
        <v>953</v>
      </c>
      <c r="H56" s="8">
        <f t="shared" si="1"/>
        <v>36</v>
      </c>
      <c r="I56" s="19" t="s">
        <v>955</v>
      </c>
      <c r="J56" s="8">
        <f t="shared" si="2"/>
        <v>152</v>
      </c>
      <c r="K56" s="9" t="s">
        <v>957</v>
      </c>
      <c r="L56" s="14" t="s">
        <v>958</v>
      </c>
      <c r="M56" s="8">
        <v>700.0</v>
      </c>
      <c r="N56" s="14" t="s">
        <v>894</v>
      </c>
      <c r="O56" s="14" t="s">
        <v>131</v>
      </c>
      <c r="P56" s="14" t="s">
        <v>960</v>
      </c>
      <c r="Q56" s="14" t="s">
        <v>898</v>
      </c>
      <c r="R56" s="14" t="s">
        <v>962</v>
      </c>
      <c r="S56" s="14" t="s">
        <v>901</v>
      </c>
      <c r="T56" s="9"/>
      <c r="U56" s="24" t="s">
        <v>30</v>
      </c>
      <c r="V56" s="24" t="s">
        <v>30</v>
      </c>
      <c r="W56" s="24"/>
      <c r="X56" s="24" t="s">
        <v>32</v>
      </c>
    </row>
    <row r="57" ht="57.75" customHeight="1">
      <c r="A57" s="26" t="s">
        <v>965</v>
      </c>
      <c r="B57" s="15" t="s">
        <v>683</v>
      </c>
      <c r="C57" s="15">
        <v>4.0</v>
      </c>
      <c r="D57" s="11" t="s">
        <v>273</v>
      </c>
      <c r="E57" s="16" t="s">
        <v>966</v>
      </c>
      <c r="F57" s="11" t="s">
        <v>968</v>
      </c>
      <c r="G57" s="19" t="s">
        <v>970</v>
      </c>
      <c r="H57" s="15">
        <f t="shared" si="1"/>
        <v>34</v>
      </c>
      <c r="I57" s="19" t="s">
        <v>971</v>
      </c>
      <c r="J57" s="15">
        <f t="shared" si="2"/>
        <v>152</v>
      </c>
      <c r="K57" s="11" t="s">
        <v>973</v>
      </c>
      <c r="L57" s="18" t="s">
        <v>975</v>
      </c>
      <c r="M57" s="15">
        <v>700.0</v>
      </c>
      <c r="N57" s="18" t="s">
        <v>894</v>
      </c>
      <c r="O57" s="18" t="s">
        <v>157</v>
      </c>
      <c r="P57" s="18" t="s">
        <v>978</v>
      </c>
      <c r="Q57" s="18" t="s">
        <v>898</v>
      </c>
      <c r="R57" s="18" t="s">
        <v>979</v>
      </c>
      <c r="S57" s="18" t="s">
        <v>901</v>
      </c>
      <c r="T57" s="11"/>
      <c r="U57" s="24" t="s">
        <v>30</v>
      </c>
      <c r="V57" s="24" t="s">
        <v>30</v>
      </c>
      <c r="W57" s="24"/>
      <c r="X57" s="24" t="s">
        <v>32</v>
      </c>
    </row>
    <row r="58" ht="57.75" customHeight="1">
      <c r="A58" s="17" t="s">
        <v>980</v>
      </c>
      <c r="B58" s="8" t="s">
        <v>683</v>
      </c>
      <c r="C58" s="8">
        <v>4.0</v>
      </c>
      <c r="D58" s="9" t="s">
        <v>273</v>
      </c>
      <c r="E58" s="12" t="s">
        <v>981</v>
      </c>
      <c r="F58" s="9" t="s">
        <v>982</v>
      </c>
      <c r="G58" s="19" t="s">
        <v>983</v>
      </c>
      <c r="H58" s="8">
        <f t="shared" si="1"/>
        <v>36</v>
      </c>
      <c r="I58" s="19" t="s">
        <v>984</v>
      </c>
      <c r="J58" s="8">
        <f t="shared" si="2"/>
        <v>152</v>
      </c>
      <c r="K58" s="9" t="s">
        <v>985</v>
      </c>
      <c r="L58" s="14" t="s">
        <v>986</v>
      </c>
      <c r="M58" s="8">
        <v>700.0</v>
      </c>
      <c r="N58" s="14" t="s">
        <v>894</v>
      </c>
      <c r="O58" s="14" t="s">
        <v>39</v>
      </c>
      <c r="P58" s="14" t="s">
        <v>987</v>
      </c>
      <c r="Q58" s="14" t="s">
        <v>898</v>
      </c>
      <c r="R58" s="14" t="s">
        <v>988</v>
      </c>
      <c r="S58" s="14" t="s">
        <v>901</v>
      </c>
      <c r="T58" s="9"/>
      <c r="U58" s="24" t="s">
        <v>30</v>
      </c>
      <c r="V58" s="24" t="s">
        <v>30</v>
      </c>
      <c r="W58" s="24"/>
      <c r="X58" s="24" t="s">
        <v>32</v>
      </c>
    </row>
    <row r="59" ht="57.75" customHeight="1">
      <c r="A59" s="26" t="s">
        <v>989</v>
      </c>
      <c r="B59" s="15" t="s">
        <v>683</v>
      </c>
      <c r="C59" s="15">
        <v>4.0</v>
      </c>
      <c r="D59" s="11" t="s">
        <v>273</v>
      </c>
      <c r="E59" s="16" t="s">
        <v>370</v>
      </c>
      <c r="F59" s="11" t="s">
        <v>990</v>
      </c>
      <c r="G59" s="19" t="s">
        <v>991</v>
      </c>
      <c r="H59" s="15">
        <f t="shared" si="1"/>
        <v>41</v>
      </c>
      <c r="I59" s="19" t="s">
        <v>992</v>
      </c>
      <c r="J59" s="15">
        <f t="shared" si="2"/>
        <v>154</v>
      </c>
      <c r="K59" s="11" t="s">
        <v>993</v>
      </c>
      <c r="L59" s="18" t="s">
        <v>994</v>
      </c>
      <c r="M59" s="15">
        <v>700.0</v>
      </c>
      <c r="N59" s="18" t="s">
        <v>894</v>
      </c>
      <c r="O59" s="18" t="s">
        <v>131</v>
      </c>
      <c r="P59" s="18" t="s">
        <v>995</v>
      </c>
      <c r="Q59" s="18" t="s">
        <v>898</v>
      </c>
      <c r="R59" s="18" t="s">
        <v>996</v>
      </c>
      <c r="S59" s="18" t="s">
        <v>901</v>
      </c>
      <c r="T59" s="11"/>
      <c r="U59" s="24" t="s">
        <v>30</v>
      </c>
      <c r="V59" s="24" t="s">
        <v>30</v>
      </c>
      <c r="W59" s="24"/>
      <c r="X59" s="24" t="s">
        <v>32</v>
      </c>
    </row>
    <row r="60" ht="57.75" customHeight="1">
      <c r="A60" s="17" t="s">
        <v>997</v>
      </c>
      <c r="B60" s="8" t="s">
        <v>683</v>
      </c>
      <c r="C60" s="8">
        <v>4.0</v>
      </c>
      <c r="D60" s="9" t="s">
        <v>273</v>
      </c>
      <c r="E60" s="12" t="s">
        <v>998</v>
      </c>
      <c r="F60" s="9" t="s">
        <v>999</v>
      </c>
      <c r="G60" s="19" t="s">
        <v>1000</v>
      </c>
      <c r="H60" s="8">
        <f t="shared" si="1"/>
        <v>36</v>
      </c>
      <c r="I60" s="19" t="s">
        <v>1001</v>
      </c>
      <c r="J60" s="8">
        <f t="shared" si="2"/>
        <v>154</v>
      </c>
      <c r="K60" s="9" t="s">
        <v>1002</v>
      </c>
      <c r="L60" s="14" t="s">
        <v>1003</v>
      </c>
      <c r="M60" s="8">
        <v>700.0</v>
      </c>
      <c r="N60" s="14" t="s">
        <v>894</v>
      </c>
      <c r="O60" s="14" t="s">
        <v>39</v>
      </c>
      <c r="P60" s="14" t="s">
        <v>1004</v>
      </c>
      <c r="Q60" s="14" t="s">
        <v>898</v>
      </c>
      <c r="R60" s="14" t="s">
        <v>1005</v>
      </c>
      <c r="S60" s="14" t="s">
        <v>901</v>
      </c>
      <c r="T60" s="9"/>
      <c r="U60" s="24" t="s">
        <v>30</v>
      </c>
      <c r="V60" s="24" t="s">
        <v>30</v>
      </c>
      <c r="W60" s="24"/>
      <c r="X60" s="24" t="s">
        <v>32</v>
      </c>
    </row>
    <row r="61" ht="57.75" customHeight="1">
      <c r="A61" s="26" t="s">
        <v>1006</v>
      </c>
      <c r="B61" s="15" t="s">
        <v>683</v>
      </c>
      <c r="C61" s="15">
        <v>4.0</v>
      </c>
      <c r="D61" s="11" t="s">
        <v>273</v>
      </c>
      <c r="E61" s="16" t="s">
        <v>1007</v>
      </c>
      <c r="F61" s="11" t="s">
        <v>1008</v>
      </c>
      <c r="G61" s="19" t="s">
        <v>1009</v>
      </c>
      <c r="H61" s="15">
        <f t="shared" si="1"/>
        <v>40</v>
      </c>
      <c r="I61" s="19" t="s">
        <v>1010</v>
      </c>
      <c r="J61" s="15">
        <f t="shared" si="2"/>
        <v>153</v>
      </c>
      <c r="K61" s="11" t="s">
        <v>1011</v>
      </c>
      <c r="L61" s="18" t="s">
        <v>1012</v>
      </c>
      <c r="M61" s="15">
        <v>700.0</v>
      </c>
      <c r="N61" s="18" t="s">
        <v>894</v>
      </c>
      <c r="O61" s="18" t="s">
        <v>306</v>
      </c>
      <c r="P61" s="18" t="s">
        <v>1013</v>
      </c>
      <c r="Q61" s="18" t="s">
        <v>898</v>
      </c>
      <c r="R61" s="18" t="s">
        <v>1014</v>
      </c>
      <c r="S61" s="18" t="s">
        <v>901</v>
      </c>
      <c r="T61" s="11"/>
      <c r="U61" s="24" t="s">
        <v>30</v>
      </c>
      <c r="V61" s="24" t="s">
        <v>30</v>
      </c>
      <c r="W61" s="24"/>
      <c r="X61" s="24" t="s">
        <v>32</v>
      </c>
    </row>
    <row r="62" ht="57.75" customHeight="1">
      <c r="A62" s="17" t="s">
        <v>1015</v>
      </c>
      <c r="B62" s="8" t="s">
        <v>683</v>
      </c>
      <c r="C62" s="8">
        <v>4.0</v>
      </c>
      <c r="D62" s="9" t="s">
        <v>273</v>
      </c>
      <c r="E62" s="12" t="s">
        <v>1016</v>
      </c>
      <c r="F62" s="9" t="s">
        <v>1017</v>
      </c>
      <c r="G62" s="19" t="s">
        <v>1018</v>
      </c>
      <c r="H62" s="8">
        <f t="shared" si="1"/>
        <v>34</v>
      </c>
      <c r="I62" s="19" t="s">
        <v>1019</v>
      </c>
      <c r="J62" s="8">
        <f t="shared" si="2"/>
        <v>154</v>
      </c>
      <c r="K62" s="9" t="s">
        <v>1020</v>
      </c>
      <c r="L62" s="14" t="s">
        <v>1021</v>
      </c>
      <c r="M62" s="8">
        <v>700.0</v>
      </c>
      <c r="N62" s="14" t="s">
        <v>894</v>
      </c>
      <c r="O62" s="14" t="s">
        <v>39</v>
      </c>
      <c r="P62" s="14" t="s">
        <v>1022</v>
      </c>
      <c r="Q62" s="14" t="s">
        <v>898</v>
      </c>
      <c r="R62" s="14" t="s">
        <v>1023</v>
      </c>
      <c r="S62" s="14" t="s">
        <v>901</v>
      </c>
      <c r="T62" s="9"/>
      <c r="U62" s="24" t="s">
        <v>30</v>
      </c>
      <c r="V62" s="24" t="s">
        <v>30</v>
      </c>
      <c r="W62" s="24"/>
      <c r="X62" s="24" t="s">
        <v>32</v>
      </c>
    </row>
    <row r="63" ht="57.75" customHeight="1">
      <c r="A63" s="26" t="s">
        <v>1024</v>
      </c>
      <c r="B63" s="15" t="s">
        <v>683</v>
      </c>
      <c r="C63" s="15">
        <v>4.0</v>
      </c>
      <c r="D63" s="11" t="s">
        <v>273</v>
      </c>
      <c r="E63" s="16" t="s">
        <v>1025</v>
      </c>
      <c r="F63" s="11" t="s">
        <v>1026</v>
      </c>
      <c r="G63" s="19" t="s">
        <v>1027</v>
      </c>
      <c r="H63" s="15">
        <f t="shared" si="1"/>
        <v>35</v>
      </c>
      <c r="I63" s="19" t="s">
        <v>1028</v>
      </c>
      <c r="J63" s="15">
        <f t="shared" si="2"/>
        <v>152</v>
      </c>
      <c r="K63" s="11" t="s">
        <v>1029</v>
      </c>
      <c r="L63" s="18" t="s">
        <v>1030</v>
      </c>
      <c r="M63" s="15">
        <v>700.0</v>
      </c>
      <c r="N63" s="18" t="s">
        <v>894</v>
      </c>
      <c r="O63" s="18" t="s">
        <v>39</v>
      </c>
      <c r="P63" s="18" t="s">
        <v>1031</v>
      </c>
      <c r="Q63" s="18" t="s">
        <v>898</v>
      </c>
      <c r="R63" s="18" t="s">
        <v>1032</v>
      </c>
      <c r="S63" s="18" t="s">
        <v>901</v>
      </c>
      <c r="T63" s="11"/>
      <c r="U63" s="24" t="s">
        <v>30</v>
      </c>
      <c r="V63" s="24" t="s">
        <v>30</v>
      </c>
      <c r="W63" s="24"/>
      <c r="X63" s="24" t="s">
        <v>32</v>
      </c>
    </row>
    <row r="64" ht="57.75" customHeight="1">
      <c r="A64" s="17" t="s">
        <v>1033</v>
      </c>
      <c r="B64" s="8" t="s">
        <v>683</v>
      </c>
      <c r="C64" s="8">
        <v>4.0</v>
      </c>
      <c r="D64" s="9" t="s">
        <v>273</v>
      </c>
      <c r="E64" s="12" t="s">
        <v>1034</v>
      </c>
      <c r="F64" s="9" t="s">
        <v>1035</v>
      </c>
      <c r="G64" s="19" t="s">
        <v>1036</v>
      </c>
      <c r="H64" s="8">
        <f t="shared" si="1"/>
        <v>40</v>
      </c>
      <c r="I64" s="19" t="s">
        <v>1037</v>
      </c>
      <c r="J64" s="8">
        <f t="shared" si="2"/>
        <v>152</v>
      </c>
      <c r="K64" s="9" t="s">
        <v>1038</v>
      </c>
      <c r="L64" s="14" t="s">
        <v>1039</v>
      </c>
      <c r="M64" s="8">
        <v>700.0</v>
      </c>
      <c r="N64" s="14" t="s">
        <v>894</v>
      </c>
      <c r="O64" s="14" t="s">
        <v>39</v>
      </c>
      <c r="P64" s="14" t="s">
        <v>1040</v>
      </c>
      <c r="Q64" s="14" t="s">
        <v>898</v>
      </c>
      <c r="R64" s="14" t="s">
        <v>1041</v>
      </c>
      <c r="S64" s="14" t="s">
        <v>901</v>
      </c>
      <c r="T64" s="9"/>
      <c r="U64" s="24" t="s">
        <v>30</v>
      </c>
      <c r="V64" s="24" t="s">
        <v>30</v>
      </c>
      <c r="W64" s="24"/>
      <c r="X64" s="24" t="s">
        <v>32</v>
      </c>
    </row>
    <row r="65" ht="57.75" customHeight="1">
      <c r="A65" s="26" t="s">
        <v>1042</v>
      </c>
      <c r="B65" s="15" t="s">
        <v>683</v>
      </c>
      <c r="C65" s="15">
        <v>4.0</v>
      </c>
      <c r="D65" s="11" t="s">
        <v>273</v>
      </c>
      <c r="E65" s="16" t="s">
        <v>1043</v>
      </c>
      <c r="F65" s="11" t="s">
        <v>1044</v>
      </c>
      <c r="G65" s="19" t="s">
        <v>1045</v>
      </c>
      <c r="H65" s="15">
        <f t="shared" si="1"/>
        <v>33</v>
      </c>
      <c r="I65" s="19" t="s">
        <v>1046</v>
      </c>
      <c r="J65" s="15">
        <f t="shared" si="2"/>
        <v>147</v>
      </c>
      <c r="K65" s="11" t="s">
        <v>1047</v>
      </c>
      <c r="L65" s="18" t="s">
        <v>1048</v>
      </c>
      <c r="M65" s="15">
        <v>700.0</v>
      </c>
      <c r="N65" s="18" t="s">
        <v>894</v>
      </c>
      <c r="O65" s="18" t="s">
        <v>39</v>
      </c>
      <c r="P65" s="18" t="s">
        <v>1049</v>
      </c>
      <c r="Q65" s="18" t="s">
        <v>898</v>
      </c>
      <c r="R65" s="18" t="s">
        <v>1050</v>
      </c>
      <c r="S65" s="18" t="s">
        <v>901</v>
      </c>
      <c r="T65" s="11"/>
      <c r="U65" s="24" t="s">
        <v>30</v>
      </c>
      <c r="V65" s="24" t="s">
        <v>30</v>
      </c>
      <c r="W65" s="24"/>
      <c r="X65" s="24" t="s">
        <v>32</v>
      </c>
    </row>
    <row r="66" ht="57.75" customHeight="1">
      <c r="A66" s="17" t="s">
        <v>1051</v>
      </c>
      <c r="B66" s="8" t="s">
        <v>683</v>
      </c>
      <c r="C66" s="8">
        <v>4.0</v>
      </c>
      <c r="D66" s="9" t="s">
        <v>273</v>
      </c>
      <c r="E66" s="12" t="s">
        <v>579</v>
      </c>
      <c r="F66" s="9" t="s">
        <v>1052</v>
      </c>
      <c r="G66" s="19" t="s">
        <v>1053</v>
      </c>
      <c r="H66" s="8">
        <f t="shared" si="1"/>
        <v>38</v>
      </c>
      <c r="I66" s="19" t="s">
        <v>1054</v>
      </c>
      <c r="J66" s="8">
        <f t="shared" si="2"/>
        <v>155</v>
      </c>
      <c r="K66" s="9" t="s">
        <v>1055</v>
      </c>
      <c r="L66" s="14" t="s">
        <v>1056</v>
      </c>
      <c r="M66" s="8">
        <v>700.0</v>
      </c>
      <c r="N66" s="14" t="s">
        <v>894</v>
      </c>
      <c r="O66" s="14" t="s">
        <v>131</v>
      </c>
      <c r="P66" s="14" t="s">
        <v>1057</v>
      </c>
      <c r="Q66" s="14" t="s">
        <v>898</v>
      </c>
      <c r="R66" s="14" t="s">
        <v>1058</v>
      </c>
      <c r="S66" s="14" t="s">
        <v>901</v>
      </c>
      <c r="T66" s="9"/>
      <c r="U66" s="24" t="s">
        <v>30</v>
      </c>
      <c r="V66" s="24" t="s">
        <v>30</v>
      </c>
      <c r="W66" s="24"/>
      <c r="X66" s="24" t="s">
        <v>32</v>
      </c>
    </row>
    <row r="67" ht="57.75" customHeight="1">
      <c r="A67" s="26" t="s">
        <v>1059</v>
      </c>
      <c r="B67" s="15" t="s">
        <v>683</v>
      </c>
      <c r="C67" s="15">
        <v>4.0</v>
      </c>
      <c r="D67" s="11" t="s">
        <v>307</v>
      </c>
      <c r="E67" s="16" t="s">
        <v>1060</v>
      </c>
      <c r="F67" s="11" t="s">
        <v>1061</v>
      </c>
      <c r="G67" s="19" t="s">
        <v>1062</v>
      </c>
      <c r="H67" s="15">
        <f t="shared" si="1"/>
        <v>43</v>
      </c>
      <c r="I67" s="19" t="s">
        <v>1063</v>
      </c>
      <c r="J67" s="15">
        <f t="shared" si="2"/>
        <v>147</v>
      </c>
      <c r="K67" s="11" t="s">
        <v>1064</v>
      </c>
      <c r="L67" s="18" t="s">
        <v>1065</v>
      </c>
      <c r="M67" s="15">
        <v>800.0</v>
      </c>
      <c r="N67" s="18" t="s">
        <v>1066</v>
      </c>
      <c r="O67" s="18" t="s">
        <v>184</v>
      </c>
      <c r="P67" s="18" t="s">
        <v>1067</v>
      </c>
      <c r="Q67" s="18" t="s">
        <v>1068</v>
      </c>
      <c r="R67" s="18" t="s">
        <v>1069</v>
      </c>
      <c r="S67" s="18" t="s">
        <v>1070</v>
      </c>
      <c r="T67" s="11"/>
      <c r="U67" s="24" t="s">
        <v>30</v>
      </c>
      <c r="V67" s="24" t="s">
        <v>30</v>
      </c>
      <c r="W67" s="24"/>
      <c r="X67" s="24" t="s">
        <v>32</v>
      </c>
    </row>
    <row r="68" ht="57.75" customHeight="1">
      <c r="A68" s="17" t="s">
        <v>1071</v>
      </c>
      <c r="B68" s="8" t="s">
        <v>683</v>
      </c>
      <c r="C68" s="8">
        <v>4.0</v>
      </c>
      <c r="D68" s="9" t="s">
        <v>307</v>
      </c>
      <c r="E68" s="12" t="s">
        <v>1072</v>
      </c>
      <c r="F68" s="9" t="s">
        <v>1073</v>
      </c>
      <c r="G68" s="19" t="s">
        <v>1074</v>
      </c>
      <c r="H68" s="8">
        <f t="shared" si="1"/>
        <v>43</v>
      </c>
      <c r="I68" s="19" t="s">
        <v>1075</v>
      </c>
      <c r="J68" s="8">
        <f t="shared" si="2"/>
        <v>147</v>
      </c>
      <c r="K68" s="9" t="s">
        <v>1076</v>
      </c>
      <c r="L68" s="14" t="s">
        <v>1077</v>
      </c>
      <c r="M68" s="8">
        <v>800.0</v>
      </c>
      <c r="N68" s="14" t="s">
        <v>1066</v>
      </c>
      <c r="O68" s="14" t="s">
        <v>184</v>
      </c>
      <c r="P68" s="14" t="s">
        <v>1078</v>
      </c>
      <c r="Q68" s="14" t="s">
        <v>1068</v>
      </c>
      <c r="R68" s="14" t="s">
        <v>1079</v>
      </c>
      <c r="S68" s="14" t="s">
        <v>1080</v>
      </c>
      <c r="T68" s="9"/>
      <c r="U68" s="24" t="s">
        <v>30</v>
      </c>
      <c r="V68" s="24" t="s">
        <v>30</v>
      </c>
      <c r="W68" s="24"/>
      <c r="X68" s="24" t="s">
        <v>32</v>
      </c>
    </row>
    <row r="69" ht="57.75" customHeight="1">
      <c r="A69" s="26" t="s">
        <v>1082</v>
      </c>
      <c r="B69" s="15" t="s">
        <v>683</v>
      </c>
      <c r="C69" s="15">
        <v>4.0</v>
      </c>
      <c r="D69" s="11" t="s">
        <v>307</v>
      </c>
      <c r="E69" s="16" t="s">
        <v>1083</v>
      </c>
      <c r="F69" s="11" t="s">
        <v>1084</v>
      </c>
      <c r="G69" s="19" t="s">
        <v>1085</v>
      </c>
      <c r="H69" s="15">
        <f t="shared" si="1"/>
        <v>38</v>
      </c>
      <c r="I69" s="19" t="s">
        <v>1086</v>
      </c>
      <c r="J69" s="15">
        <f t="shared" si="2"/>
        <v>142</v>
      </c>
      <c r="K69" s="11" t="s">
        <v>1088</v>
      </c>
      <c r="L69" s="18" t="s">
        <v>1089</v>
      </c>
      <c r="M69" s="15">
        <v>800.0</v>
      </c>
      <c r="N69" s="18" t="s">
        <v>1066</v>
      </c>
      <c r="O69" s="18" t="s">
        <v>184</v>
      </c>
      <c r="P69" s="18" t="s">
        <v>1091</v>
      </c>
      <c r="Q69" s="18" t="s">
        <v>1068</v>
      </c>
      <c r="R69" s="18" t="s">
        <v>1093</v>
      </c>
      <c r="S69" s="18" t="s">
        <v>1095</v>
      </c>
      <c r="T69" s="11"/>
      <c r="U69" s="24" t="s">
        <v>30</v>
      </c>
      <c r="V69" s="24" t="s">
        <v>30</v>
      </c>
      <c r="W69" s="24"/>
      <c r="X69" s="24" t="s">
        <v>32</v>
      </c>
    </row>
    <row r="70" ht="57.75" customHeight="1">
      <c r="A70" s="17" t="s">
        <v>1100</v>
      </c>
      <c r="B70" s="8" t="s">
        <v>683</v>
      </c>
      <c r="C70" s="8">
        <v>4.0</v>
      </c>
      <c r="D70" s="9" t="s">
        <v>307</v>
      </c>
      <c r="E70" s="12" t="s">
        <v>1102</v>
      </c>
      <c r="F70" s="9" t="s">
        <v>1104</v>
      </c>
      <c r="G70" s="19" t="s">
        <v>1106</v>
      </c>
      <c r="H70" s="8">
        <f t="shared" si="1"/>
        <v>44</v>
      </c>
      <c r="I70" s="19" t="s">
        <v>1108</v>
      </c>
      <c r="J70" s="8">
        <f t="shared" si="2"/>
        <v>154</v>
      </c>
      <c r="K70" s="9" t="s">
        <v>1109</v>
      </c>
      <c r="L70" s="14" t="s">
        <v>1110</v>
      </c>
      <c r="M70" s="8">
        <v>800.0</v>
      </c>
      <c r="N70" s="14" t="s">
        <v>1066</v>
      </c>
      <c r="O70" s="14" t="s">
        <v>236</v>
      </c>
      <c r="P70" s="14" t="s">
        <v>1111</v>
      </c>
      <c r="Q70" s="14" t="s">
        <v>1068</v>
      </c>
      <c r="R70" s="14" t="s">
        <v>1113</v>
      </c>
      <c r="S70" s="14" t="s">
        <v>1114</v>
      </c>
      <c r="T70" s="9"/>
      <c r="U70" s="24" t="s">
        <v>30</v>
      </c>
      <c r="V70" s="24" t="s">
        <v>30</v>
      </c>
      <c r="W70" s="24"/>
      <c r="X70" s="24" t="s">
        <v>32</v>
      </c>
    </row>
    <row r="71" ht="57.75" customHeight="1">
      <c r="A71" s="26" t="s">
        <v>1115</v>
      </c>
      <c r="B71" s="15" t="s">
        <v>683</v>
      </c>
      <c r="C71" s="15">
        <v>4.0</v>
      </c>
      <c r="D71" s="11" t="s">
        <v>307</v>
      </c>
      <c r="E71" s="16" t="s">
        <v>1116</v>
      </c>
      <c r="F71" s="11" t="s">
        <v>1117</v>
      </c>
      <c r="G71" s="19" t="s">
        <v>1118</v>
      </c>
      <c r="H71" s="15">
        <f t="shared" si="1"/>
        <v>37</v>
      </c>
      <c r="I71" s="19" t="s">
        <v>1119</v>
      </c>
      <c r="J71" s="15">
        <f t="shared" si="2"/>
        <v>152</v>
      </c>
      <c r="K71" s="11" t="s">
        <v>1120</v>
      </c>
      <c r="L71" s="18" t="s">
        <v>1121</v>
      </c>
      <c r="M71" s="15">
        <v>800.0</v>
      </c>
      <c r="N71" s="18" t="s">
        <v>1066</v>
      </c>
      <c r="O71" s="18" t="s">
        <v>197</v>
      </c>
      <c r="P71" s="18" t="s">
        <v>1122</v>
      </c>
      <c r="Q71" s="18" t="s">
        <v>1068</v>
      </c>
      <c r="R71" s="18" t="s">
        <v>1123</v>
      </c>
      <c r="S71" s="18" t="s">
        <v>1124</v>
      </c>
      <c r="T71" s="11"/>
      <c r="U71" s="24" t="s">
        <v>30</v>
      </c>
      <c r="V71" s="24" t="s">
        <v>30</v>
      </c>
      <c r="W71" s="24"/>
      <c r="X71" s="24" t="s">
        <v>32</v>
      </c>
    </row>
    <row r="72" ht="57.75" customHeight="1">
      <c r="A72" s="17" t="s">
        <v>1129</v>
      </c>
      <c r="B72" s="8" t="s">
        <v>683</v>
      </c>
      <c r="C72" s="8">
        <v>4.0</v>
      </c>
      <c r="D72" s="9" t="s">
        <v>307</v>
      </c>
      <c r="E72" s="12" t="s">
        <v>1131</v>
      </c>
      <c r="F72" s="9" t="s">
        <v>1132</v>
      </c>
      <c r="G72" s="19" t="s">
        <v>1133</v>
      </c>
      <c r="H72" s="8">
        <f t="shared" si="1"/>
        <v>38</v>
      </c>
      <c r="I72" s="19" t="s">
        <v>1134</v>
      </c>
      <c r="J72" s="8">
        <f t="shared" si="2"/>
        <v>153</v>
      </c>
      <c r="K72" s="9" t="s">
        <v>1136</v>
      </c>
      <c r="L72" s="14" t="s">
        <v>1138</v>
      </c>
      <c r="M72" s="8">
        <v>800.0</v>
      </c>
      <c r="N72" s="14" t="s">
        <v>1066</v>
      </c>
      <c r="O72" s="14" t="s">
        <v>197</v>
      </c>
      <c r="P72" s="14" t="s">
        <v>1141</v>
      </c>
      <c r="Q72" s="14" t="s">
        <v>1068</v>
      </c>
      <c r="R72" s="14" t="s">
        <v>1142</v>
      </c>
      <c r="S72" s="14" t="s">
        <v>1143</v>
      </c>
      <c r="T72" s="9"/>
      <c r="U72" s="24" t="s">
        <v>30</v>
      </c>
      <c r="V72" s="24" t="s">
        <v>30</v>
      </c>
      <c r="W72" s="24"/>
      <c r="X72" s="24" t="s">
        <v>32</v>
      </c>
    </row>
    <row r="73" ht="57.75" customHeight="1">
      <c r="A73" s="26" t="s">
        <v>1148</v>
      </c>
      <c r="B73" s="15" t="s">
        <v>683</v>
      </c>
      <c r="C73" s="15">
        <v>4.0</v>
      </c>
      <c r="D73" s="11" t="s">
        <v>307</v>
      </c>
      <c r="E73" s="16" t="s">
        <v>1150</v>
      </c>
      <c r="F73" s="11" t="s">
        <v>1152</v>
      </c>
      <c r="G73" s="19" t="s">
        <v>1153</v>
      </c>
      <c r="H73" s="15">
        <f t="shared" si="1"/>
        <v>41</v>
      </c>
      <c r="I73" s="19" t="s">
        <v>1155</v>
      </c>
      <c r="J73" s="15">
        <f t="shared" si="2"/>
        <v>156</v>
      </c>
      <c r="K73" s="11" t="s">
        <v>1157</v>
      </c>
      <c r="L73" s="18" t="s">
        <v>1159</v>
      </c>
      <c r="M73" s="15">
        <v>800.0</v>
      </c>
      <c r="N73" s="18" t="s">
        <v>1066</v>
      </c>
      <c r="O73" s="18" t="s">
        <v>197</v>
      </c>
      <c r="P73" s="18" t="s">
        <v>1163</v>
      </c>
      <c r="Q73" s="18" t="s">
        <v>1068</v>
      </c>
      <c r="R73" s="18" t="s">
        <v>1166</v>
      </c>
      <c r="S73" s="18" t="s">
        <v>1168</v>
      </c>
      <c r="T73" s="11"/>
      <c r="U73" s="24" t="s">
        <v>30</v>
      </c>
      <c r="V73" s="24" t="s">
        <v>30</v>
      </c>
      <c r="W73" s="24"/>
      <c r="X73" s="24" t="s">
        <v>32</v>
      </c>
    </row>
    <row r="74" ht="57.75" customHeight="1">
      <c r="A74" s="17" t="s">
        <v>1172</v>
      </c>
      <c r="B74" s="8" t="s">
        <v>683</v>
      </c>
      <c r="C74" s="8">
        <v>4.0</v>
      </c>
      <c r="D74" s="9" t="s">
        <v>307</v>
      </c>
      <c r="E74" s="12" t="s">
        <v>1174</v>
      </c>
      <c r="F74" s="9" t="s">
        <v>1176</v>
      </c>
      <c r="G74" s="19" t="s">
        <v>1178</v>
      </c>
      <c r="H74" s="8">
        <f t="shared" si="1"/>
        <v>57</v>
      </c>
      <c r="I74" s="19" t="s">
        <v>1179</v>
      </c>
      <c r="J74" s="8">
        <f t="shared" si="2"/>
        <v>153</v>
      </c>
      <c r="K74" s="9" t="s">
        <v>1180</v>
      </c>
      <c r="L74" s="14" t="s">
        <v>1181</v>
      </c>
      <c r="M74" s="8">
        <v>800.0</v>
      </c>
      <c r="N74" s="14" t="s">
        <v>1066</v>
      </c>
      <c r="O74" s="14" t="s">
        <v>217</v>
      </c>
      <c r="P74" s="14" t="s">
        <v>1183</v>
      </c>
      <c r="Q74" s="14" t="s">
        <v>1068</v>
      </c>
      <c r="R74" s="14" t="s">
        <v>1184</v>
      </c>
      <c r="S74" s="14" t="s">
        <v>1185</v>
      </c>
      <c r="T74" s="9"/>
      <c r="U74" s="24" t="s">
        <v>30</v>
      </c>
      <c r="V74" s="24" t="s">
        <v>30</v>
      </c>
      <c r="W74" s="24"/>
      <c r="X74" s="24" t="s">
        <v>32</v>
      </c>
    </row>
    <row r="75" ht="57.75" customHeight="1">
      <c r="A75" s="26" t="s">
        <v>1188</v>
      </c>
      <c r="B75" s="15" t="s">
        <v>683</v>
      </c>
      <c r="C75" s="15">
        <v>4.0</v>
      </c>
      <c r="D75" s="11" t="s">
        <v>307</v>
      </c>
      <c r="E75" s="16" t="s">
        <v>1190</v>
      </c>
      <c r="F75" s="11" t="s">
        <v>1191</v>
      </c>
      <c r="G75" s="19" t="s">
        <v>1192</v>
      </c>
      <c r="H75" s="15">
        <f t="shared" si="1"/>
        <v>57</v>
      </c>
      <c r="I75" s="19" t="s">
        <v>1195</v>
      </c>
      <c r="J75" s="15">
        <f t="shared" si="2"/>
        <v>153</v>
      </c>
      <c r="K75" s="11" t="s">
        <v>1196</v>
      </c>
      <c r="L75" s="18" t="s">
        <v>1198</v>
      </c>
      <c r="M75" s="15">
        <v>800.0</v>
      </c>
      <c r="N75" s="18" t="s">
        <v>1066</v>
      </c>
      <c r="O75" s="18" t="s">
        <v>217</v>
      </c>
      <c r="P75" s="18" t="s">
        <v>1199</v>
      </c>
      <c r="Q75" s="18" t="s">
        <v>1068</v>
      </c>
      <c r="R75" s="18" t="s">
        <v>1200</v>
      </c>
      <c r="S75" s="18" t="s">
        <v>1201</v>
      </c>
      <c r="T75" s="11"/>
      <c r="U75" s="24" t="s">
        <v>30</v>
      </c>
      <c r="V75" s="24" t="s">
        <v>30</v>
      </c>
      <c r="W75" s="24"/>
      <c r="X75" s="24" t="s">
        <v>32</v>
      </c>
    </row>
    <row r="76" ht="57.75" customHeight="1">
      <c r="A76" s="17" t="s">
        <v>1206</v>
      </c>
      <c r="B76" s="8" t="s">
        <v>683</v>
      </c>
      <c r="C76" s="8">
        <v>4.0</v>
      </c>
      <c r="D76" s="9" t="s">
        <v>307</v>
      </c>
      <c r="E76" s="12" t="s">
        <v>1209</v>
      </c>
      <c r="F76" s="9" t="s">
        <v>1210</v>
      </c>
      <c r="G76" s="19" t="s">
        <v>1212</v>
      </c>
      <c r="H76" s="8">
        <f t="shared" si="1"/>
        <v>45</v>
      </c>
      <c r="I76" s="19" t="s">
        <v>1215</v>
      </c>
      <c r="J76" s="8">
        <f t="shared" si="2"/>
        <v>153</v>
      </c>
      <c r="K76" s="9" t="s">
        <v>1220</v>
      </c>
      <c r="L76" s="14" t="s">
        <v>1222</v>
      </c>
      <c r="M76" s="8">
        <v>800.0</v>
      </c>
      <c r="N76" s="14" t="s">
        <v>1066</v>
      </c>
      <c r="O76" s="14" t="s">
        <v>601</v>
      </c>
      <c r="P76" s="14" t="s">
        <v>1225</v>
      </c>
      <c r="Q76" s="14" t="s">
        <v>1068</v>
      </c>
      <c r="R76" s="14" t="s">
        <v>1227</v>
      </c>
      <c r="S76" s="14" t="s">
        <v>1229</v>
      </c>
      <c r="T76" s="9"/>
      <c r="U76" s="24" t="s">
        <v>30</v>
      </c>
      <c r="V76" s="24" t="s">
        <v>30</v>
      </c>
      <c r="W76" s="24"/>
      <c r="X76" s="24" t="s">
        <v>32</v>
      </c>
    </row>
    <row r="77" ht="57.75" customHeight="1">
      <c r="A77" s="26" t="s">
        <v>1234</v>
      </c>
      <c r="B77" s="15" t="s">
        <v>683</v>
      </c>
      <c r="C77" s="15">
        <v>4.0</v>
      </c>
      <c r="D77" s="11" t="s">
        <v>307</v>
      </c>
      <c r="E77" s="16" t="s">
        <v>1237</v>
      </c>
      <c r="F77" s="11" t="s">
        <v>1239</v>
      </c>
      <c r="G77" s="19" t="s">
        <v>1242</v>
      </c>
      <c r="H77" s="15">
        <f t="shared" si="1"/>
        <v>44</v>
      </c>
      <c r="I77" s="19" t="s">
        <v>1243</v>
      </c>
      <c r="J77" s="15">
        <f t="shared" si="2"/>
        <v>146</v>
      </c>
      <c r="K77" s="11" t="s">
        <v>1246</v>
      </c>
      <c r="L77" s="18" t="s">
        <v>1248</v>
      </c>
      <c r="M77" s="15">
        <v>800.0</v>
      </c>
      <c r="N77" s="18" t="s">
        <v>1066</v>
      </c>
      <c r="O77" s="18" t="s">
        <v>200</v>
      </c>
      <c r="P77" s="18" t="s">
        <v>1250</v>
      </c>
      <c r="Q77" s="18" t="s">
        <v>1068</v>
      </c>
      <c r="R77" s="18" t="s">
        <v>1251</v>
      </c>
      <c r="S77" s="18" t="s">
        <v>1253</v>
      </c>
      <c r="T77" s="11"/>
      <c r="U77" s="24" t="s">
        <v>30</v>
      </c>
      <c r="V77" s="24" t="s">
        <v>30</v>
      </c>
      <c r="W77" s="24"/>
      <c r="X77" s="24" t="s">
        <v>32</v>
      </c>
    </row>
    <row r="78" ht="57.75" customHeight="1">
      <c r="A78" s="17" t="s">
        <v>1258</v>
      </c>
      <c r="B78" s="8" t="s">
        <v>683</v>
      </c>
      <c r="C78" s="8">
        <v>4.0</v>
      </c>
      <c r="D78" s="9" t="s">
        <v>307</v>
      </c>
      <c r="E78" s="12" t="s">
        <v>1262</v>
      </c>
      <c r="F78" s="9" t="s">
        <v>1263</v>
      </c>
      <c r="G78" s="19" t="s">
        <v>1266</v>
      </c>
      <c r="H78" s="8">
        <f t="shared" si="1"/>
        <v>50</v>
      </c>
      <c r="I78" s="19" t="s">
        <v>1270</v>
      </c>
      <c r="J78" s="8">
        <f t="shared" si="2"/>
        <v>156</v>
      </c>
      <c r="K78" s="9" t="s">
        <v>1273</v>
      </c>
      <c r="L78" s="14" t="s">
        <v>1275</v>
      </c>
      <c r="M78" s="8">
        <v>800.0</v>
      </c>
      <c r="N78" s="14" t="s">
        <v>1066</v>
      </c>
      <c r="O78" s="14" t="s">
        <v>261</v>
      </c>
      <c r="P78" s="14" t="s">
        <v>1280</v>
      </c>
      <c r="Q78" s="14" t="s">
        <v>1068</v>
      </c>
      <c r="R78" s="14" t="s">
        <v>1282</v>
      </c>
      <c r="S78" s="14" t="s">
        <v>1284</v>
      </c>
      <c r="T78" s="9"/>
      <c r="U78" s="24" t="s">
        <v>30</v>
      </c>
      <c r="V78" s="24" t="s">
        <v>30</v>
      </c>
      <c r="W78" s="24"/>
      <c r="X78" s="24" t="s">
        <v>32</v>
      </c>
    </row>
    <row r="79" ht="57.75" customHeight="1">
      <c r="A79" s="26" t="s">
        <v>1291</v>
      </c>
      <c r="B79" s="15" t="s">
        <v>344</v>
      </c>
      <c r="C79" s="15">
        <v>3.0</v>
      </c>
      <c r="D79" s="11" t="s">
        <v>144</v>
      </c>
      <c r="E79" s="16" t="s">
        <v>1294</v>
      </c>
      <c r="F79" s="11" t="s">
        <v>1296</v>
      </c>
      <c r="G79" s="19" t="s">
        <v>1298</v>
      </c>
      <c r="H79" s="15">
        <f t="shared" si="1"/>
        <v>59</v>
      </c>
      <c r="I79" s="19" t="s">
        <v>1302</v>
      </c>
      <c r="J79" s="15">
        <f t="shared" si="2"/>
        <v>145</v>
      </c>
      <c r="K79" s="11" t="s">
        <v>1306</v>
      </c>
      <c r="L79" s="18" t="s">
        <v>1307</v>
      </c>
      <c r="M79" s="15">
        <v>600.0</v>
      </c>
      <c r="N79" s="18" t="s">
        <v>166</v>
      </c>
      <c r="O79" s="18" t="s">
        <v>88</v>
      </c>
      <c r="P79" s="18" t="s">
        <v>1311</v>
      </c>
      <c r="Q79" s="18" t="s">
        <v>1314</v>
      </c>
      <c r="R79" s="18" t="s">
        <v>1316</v>
      </c>
      <c r="S79" s="18" t="s">
        <v>1318</v>
      </c>
      <c r="T79" s="11"/>
      <c r="U79" s="24" t="s">
        <v>30</v>
      </c>
      <c r="V79" s="24" t="s">
        <v>30</v>
      </c>
      <c r="W79" s="24"/>
      <c r="X79" s="24" t="s">
        <v>32</v>
      </c>
    </row>
    <row r="80" ht="57.75" customHeight="1">
      <c r="A80" s="17" t="s">
        <v>1323</v>
      </c>
      <c r="B80" s="8" t="s">
        <v>344</v>
      </c>
      <c r="C80" s="8">
        <v>3.0</v>
      </c>
      <c r="D80" s="9" t="s">
        <v>380</v>
      </c>
      <c r="E80" s="12" t="s">
        <v>1326</v>
      </c>
      <c r="F80" s="9" t="s">
        <v>1327</v>
      </c>
      <c r="G80" s="19" t="s">
        <v>1329</v>
      </c>
      <c r="H80" s="8">
        <f t="shared" si="1"/>
        <v>48</v>
      </c>
      <c r="I80" s="19" t="s">
        <v>1333</v>
      </c>
      <c r="J80" s="8">
        <f t="shared" si="2"/>
        <v>141</v>
      </c>
      <c r="K80" s="9" t="s">
        <v>1337</v>
      </c>
      <c r="L80" s="14"/>
      <c r="M80" s="8">
        <v>900.0</v>
      </c>
      <c r="N80" s="14" t="s">
        <v>1341</v>
      </c>
      <c r="O80" s="14" t="s">
        <v>1294</v>
      </c>
      <c r="P80" s="14" t="s">
        <v>1343</v>
      </c>
      <c r="Q80" s="14" t="s">
        <v>1344</v>
      </c>
      <c r="R80" s="14" t="s">
        <v>1347</v>
      </c>
      <c r="S80" s="14" t="s">
        <v>1349</v>
      </c>
      <c r="T80" s="9"/>
      <c r="U80" s="24" t="s">
        <v>30</v>
      </c>
      <c r="V80" s="24" t="s">
        <v>30</v>
      </c>
      <c r="W80" s="24"/>
      <c r="X80" s="24" t="s">
        <v>32</v>
      </c>
    </row>
    <row r="81" ht="57.75" customHeight="1">
      <c r="A81" s="26" t="s">
        <v>1356</v>
      </c>
      <c r="B81" s="15" t="s">
        <v>344</v>
      </c>
      <c r="C81" s="15">
        <v>3.0</v>
      </c>
      <c r="D81" s="11" t="s">
        <v>324</v>
      </c>
      <c r="E81" s="16" t="s">
        <v>1358</v>
      </c>
      <c r="F81" s="11" t="s">
        <v>1360</v>
      </c>
      <c r="G81" s="19" t="s">
        <v>1362</v>
      </c>
      <c r="H81" s="15">
        <f t="shared" si="1"/>
        <v>52</v>
      </c>
      <c r="I81" s="19" t="s">
        <v>1365</v>
      </c>
      <c r="J81" s="15">
        <f t="shared" si="2"/>
        <v>150</v>
      </c>
      <c r="K81" s="11" t="s">
        <v>1366</v>
      </c>
      <c r="L81" s="18"/>
      <c r="M81" s="15">
        <v>900.0</v>
      </c>
      <c r="N81" s="18" t="s">
        <v>373</v>
      </c>
      <c r="O81" s="18" t="s">
        <v>1294</v>
      </c>
      <c r="P81" s="18" t="s">
        <v>1343</v>
      </c>
      <c r="Q81" s="18" t="s">
        <v>1344</v>
      </c>
      <c r="R81" s="18" t="s">
        <v>1371</v>
      </c>
      <c r="S81" s="18" t="s">
        <v>1349</v>
      </c>
      <c r="T81" s="11"/>
      <c r="U81" s="24" t="s">
        <v>30</v>
      </c>
      <c r="V81" s="24" t="s">
        <v>30</v>
      </c>
      <c r="W81" s="24"/>
      <c r="X81" s="24" t="s">
        <v>32</v>
      </c>
    </row>
    <row r="82" ht="57.75" customHeight="1">
      <c r="A82" s="17" t="s">
        <v>1375</v>
      </c>
      <c r="B82" s="8" t="s">
        <v>344</v>
      </c>
      <c r="C82" s="8">
        <v>3.0</v>
      </c>
      <c r="D82" s="9" t="s">
        <v>324</v>
      </c>
      <c r="E82" s="12" t="s">
        <v>1378</v>
      </c>
      <c r="F82" s="9" t="s">
        <v>1379</v>
      </c>
      <c r="G82" s="19" t="s">
        <v>1380</v>
      </c>
      <c r="H82" s="8">
        <f t="shared" si="1"/>
        <v>51</v>
      </c>
      <c r="I82" s="19" t="s">
        <v>1383</v>
      </c>
      <c r="J82" s="8">
        <f t="shared" si="2"/>
        <v>134</v>
      </c>
      <c r="K82" s="9" t="s">
        <v>1386</v>
      </c>
      <c r="L82" s="14"/>
      <c r="M82" s="8">
        <v>900.0</v>
      </c>
      <c r="N82" s="14" t="s">
        <v>373</v>
      </c>
      <c r="O82" s="14" t="s">
        <v>1294</v>
      </c>
      <c r="P82" s="14" t="s">
        <v>1343</v>
      </c>
      <c r="Q82" s="14" t="s">
        <v>1344</v>
      </c>
      <c r="R82" s="14" t="s">
        <v>1388</v>
      </c>
      <c r="S82" s="14" t="s">
        <v>1349</v>
      </c>
      <c r="T82" s="9"/>
      <c r="U82" s="24" t="s">
        <v>30</v>
      </c>
      <c r="V82" s="24" t="s">
        <v>30</v>
      </c>
      <c r="W82" s="24"/>
      <c r="X82" s="24" t="s">
        <v>32</v>
      </c>
    </row>
    <row r="83" ht="57.75" customHeight="1">
      <c r="A83" s="26" t="s">
        <v>1393</v>
      </c>
      <c r="B83" s="15" t="s">
        <v>344</v>
      </c>
      <c r="C83" s="15">
        <v>3.0</v>
      </c>
      <c r="D83" s="11" t="s">
        <v>380</v>
      </c>
      <c r="E83" s="16" t="s">
        <v>1397</v>
      </c>
      <c r="F83" s="11" t="s">
        <v>1398</v>
      </c>
      <c r="G83" s="19" t="s">
        <v>1400</v>
      </c>
      <c r="H83" s="15">
        <f t="shared" si="1"/>
        <v>53</v>
      </c>
      <c r="I83" s="19" t="s">
        <v>1401</v>
      </c>
      <c r="J83" s="15">
        <f t="shared" si="2"/>
        <v>131</v>
      </c>
      <c r="K83" s="11" t="s">
        <v>1405</v>
      </c>
      <c r="L83" s="18"/>
      <c r="M83" s="15">
        <v>900.0</v>
      </c>
      <c r="N83" s="18" t="s">
        <v>1341</v>
      </c>
      <c r="O83" s="18" t="s">
        <v>1294</v>
      </c>
      <c r="P83" s="18" t="s">
        <v>1343</v>
      </c>
      <c r="Q83" s="18" t="s">
        <v>1344</v>
      </c>
      <c r="R83" s="18" t="s">
        <v>1409</v>
      </c>
      <c r="S83" s="18" t="s">
        <v>1349</v>
      </c>
      <c r="T83" s="11"/>
      <c r="U83" s="24" t="s">
        <v>30</v>
      </c>
      <c r="V83" s="24" t="s">
        <v>30</v>
      </c>
      <c r="W83" s="24"/>
      <c r="X83" s="24" t="s">
        <v>32</v>
      </c>
    </row>
    <row r="84" ht="57.75" customHeight="1">
      <c r="A84" s="17" t="s">
        <v>1415</v>
      </c>
      <c r="B84" s="8" t="s">
        <v>344</v>
      </c>
      <c r="C84" s="8">
        <v>4.0</v>
      </c>
      <c r="D84" s="9" t="s">
        <v>340</v>
      </c>
      <c r="E84" s="12" t="s">
        <v>1419</v>
      </c>
      <c r="F84" s="9" t="s">
        <v>1421</v>
      </c>
      <c r="G84" s="19" t="s">
        <v>1422</v>
      </c>
      <c r="H84" s="8">
        <f t="shared" si="1"/>
        <v>56</v>
      </c>
      <c r="I84" s="19" t="s">
        <v>1423</v>
      </c>
      <c r="J84" s="8">
        <f t="shared" si="2"/>
        <v>150</v>
      </c>
      <c r="K84" s="9" t="s">
        <v>1427</v>
      </c>
      <c r="L84" s="14"/>
      <c r="M84" s="8">
        <v>900.0</v>
      </c>
      <c r="N84" s="14" t="s">
        <v>373</v>
      </c>
      <c r="O84" s="14" t="s">
        <v>1294</v>
      </c>
      <c r="P84" s="14" t="s">
        <v>1343</v>
      </c>
      <c r="Q84" s="14" t="s">
        <v>1344</v>
      </c>
      <c r="R84" s="14" t="s">
        <v>1431</v>
      </c>
      <c r="S84" s="14" t="s">
        <v>1349</v>
      </c>
      <c r="T84" s="9"/>
      <c r="U84" s="24" t="s">
        <v>30</v>
      </c>
      <c r="V84" s="24" t="s">
        <v>30</v>
      </c>
      <c r="W84" s="24"/>
      <c r="X84" s="24" t="s">
        <v>32</v>
      </c>
    </row>
    <row r="85" ht="57.75" customHeight="1">
      <c r="A85" s="26" t="s">
        <v>1434</v>
      </c>
      <c r="B85" s="15" t="s">
        <v>344</v>
      </c>
      <c r="C85" s="15">
        <v>4.0</v>
      </c>
      <c r="D85" s="11" t="s">
        <v>352</v>
      </c>
      <c r="E85" s="16" t="s">
        <v>1436</v>
      </c>
      <c r="F85" s="11" t="s">
        <v>1437</v>
      </c>
      <c r="G85" s="19" t="s">
        <v>1438</v>
      </c>
      <c r="H85" s="15">
        <f t="shared" si="1"/>
        <v>53</v>
      </c>
      <c r="I85" s="19" t="s">
        <v>1439</v>
      </c>
      <c r="J85" s="15">
        <f t="shared" si="2"/>
        <v>153</v>
      </c>
      <c r="K85" s="11" t="s">
        <v>1440</v>
      </c>
      <c r="L85" s="18"/>
      <c r="M85" s="15">
        <v>900.0</v>
      </c>
      <c r="N85" s="18" t="s">
        <v>373</v>
      </c>
      <c r="O85" s="18" t="s">
        <v>1294</v>
      </c>
      <c r="P85" s="18" t="s">
        <v>1343</v>
      </c>
      <c r="Q85" s="18" t="s">
        <v>1344</v>
      </c>
      <c r="R85" s="18" t="s">
        <v>1444</v>
      </c>
      <c r="S85" s="18" t="s">
        <v>1349</v>
      </c>
      <c r="T85" s="11"/>
      <c r="U85" s="24" t="s">
        <v>30</v>
      </c>
      <c r="V85" s="24" t="s">
        <v>30</v>
      </c>
      <c r="W85" s="24"/>
      <c r="X85" s="24" t="s">
        <v>32</v>
      </c>
    </row>
    <row r="86" ht="57.75" customHeight="1">
      <c r="A86" s="17" t="s">
        <v>1450</v>
      </c>
      <c r="B86" s="8" t="s">
        <v>344</v>
      </c>
      <c r="C86" s="8">
        <v>4.0</v>
      </c>
      <c r="D86" s="9" t="s">
        <v>352</v>
      </c>
      <c r="E86" s="12" t="s">
        <v>1453</v>
      </c>
      <c r="F86" s="9" t="s">
        <v>1454</v>
      </c>
      <c r="G86" s="19" t="s">
        <v>1456</v>
      </c>
      <c r="H86" s="8">
        <f t="shared" si="1"/>
        <v>55</v>
      </c>
      <c r="I86" s="19" t="s">
        <v>1458</v>
      </c>
      <c r="J86" s="8">
        <f t="shared" si="2"/>
        <v>143</v>
      </c>
      <c r="K86" s="9" t="s">
        <v>1461</v>
      </c>
      <c r="L86" s="14"/>
      <c r="M86" s="8">
        <v>900.0</v>
      </c>
      <c r="N86" s="14" t="s">
        <v>373</v>
      </c>
      <c r="O86" s="14" t="s">
        <v>1294</v>
      </c>
      <c r="P86" s="14" t="s">
        <v>1343</v>
      </c>
      <c r="Q86" s="14" t="s">
        <v>1344</v>
      </c>
      <c r="R86" s="14" t="s">
        <v>1466</v>
      </c>
      <c r="S86" s="14" t="s">
        <v>1349</v>
      </c>
      <c r="T86" s="9"/>
      <c r="U86" s="24" t="s">
        <v>30</v>
      </c>
      <c r="V86" s="24" t="s">
        <v>30</v>
      </c>
      <c r="W86" s="24"/>
      <c r="X86" s="24" t="s">
        <v>32</v>
      </c>
    </row>
    <row r="87" ht="57.75" customHeight="1">
      <c r="A87" s="26" t="s">
        <v>1468</v>
      </c>
      <c r="B87" s="15" t="s">
        <v>344</v>
      </c>
      <c r="C87" s="15">
        <v>4.0</v>
      </c>
      <c r="D87" s="11" t="s">
        <v>352</v>
      </c>
      <c r="E87" s="16" t="s">
        <v>1469</v>
      </c>
      <c r="F87" s="11" t="s">
        <v>1471</v>
      </c>
      <c r="G87" s="19" t="s">
        <v>1472</v>
      </c>
      <c r="H87" s="15">
        <f t="shared" si="1"/>
        <v>49</v>
      </c>
      <c r="I87" s="19" t="s">
        <v>1474</v>
      </c>
      <c r="J87" s="15">
        <f t="shared" si="2"/>
        <v>151</v>
      </c>
      <c r="K87" s="11" t="s">
        <v>1476</v>
      </c>
      <c r="L87" s="18"/>
      <c r="M87" s="15">
        <v>900.0</v>
      </c>
      <c r="N87" s="18" t="s">
        <v>373</v>
      </c>
      <c r="O87" s="18" t="s">
        <v>1294</v>
      </c>
      <c r="P87" s="18" t="s">
        <v>1343</v>
      </c>
      <c r="Q87" s="18" t="s">
        <v>1344</v>
      </c>
      <c r="R87" s="18" t="s">
        <v>1479</v>
      </c>
      <c r="S87" s="18" t="s">
        <v>1349</v>
      </c>
      <c r="T87" s="11"/>
      <c r="U87" s="24" t="s">
        <v>30</v>
      </c>
      <c r="V87" s="24" t="s">
        <v>30</v>
      </c>
      <c r="W87" s="24"/>
      <c r="X87" s="24" t="s">
        <v>32</v>
      </c>
    </row>
    <row r="88" ht="57.75" customHeight="1">
      <c r="A88" s="17" t="s">
        <v>1482</v>
      </c>
      <c r="B88" s="8" t="s">
        <v>344</v>
      </c>
      <c r="C88" s="8">
        <v>3.0</v>
      </c>
      <c r="D88" s="9" t="s">
        <v>366</v>
      </c>
      <c r="E88" s="12" t="s">
        <v>1484</v>
      </c>
      <c r="F88" s="9" t="s">
        <v>1485</v>
      </c>
      <c r="G88" s="19" t="s">
        <v>1486</v>
      </c>
      <c r="H88" s="8">
        <f t="shared" si="1"/>
        <v>45</v>
      </c>
      <c r="I88" s="19" t="s">
        <v>1487</v>
      </c>
      <c r="J88" s="8">
        <f t="shared" si="2"/>
        <v>144</v>
      </c>
      <c r="K88" s="9" t="s">
        <v>1489</v>
      </c>
      <c r="L88" s="14"/>
      <c r="M88" s="8">
        <v>900.0</v>
      </c>
      <c r="N88" s="14" t="s">
        <v>373</v>
      </c>
      <c r="O88" s="14" t="s">
        <v>1294</v>
      </c>
      <c r="P88" s="14" t="s">
        <v>1343</v>
      </c>
      <c r="Q88" s="14" t="s">
        <v>1344</v>
      </c>
      <c r="R88" s="14" t="s">
        <v>1490</v>
      </c>
      <c r="S88" s="14" t="s">
        <v>1349</v>
      </c>
      <c r="T88" s="9"/>
      <c r="U88" s="24" t="s">
        <v>30</v>
      </c>
      <c r="V88" s="24" t="s">
        <v>30</v>
      </c>
      <c r="W88" s="24"/>
      <c r="X88" s="24" t="s">
        <v>32</v>
      </c>
    </row>
    <row r="89" ht="57.75" customHeight="1">
      <c r="A89" s="26" t="s">
        <v>1491</v>
      </c>
      <c r="B89" s="15" t="s">
        <v>344</v>
      </c>
      <c r="C89" s="15">
        <v>4.0</v>
      </c>
      <c r="D89" s="11" t="s">
        <v>385</v>
      </c>
      <c r="E89" s="16" t="s">
        <v>1492</v>
      </c>
      <c r="F89" s="11" t="s">
        <v>1493</v>
      </c>
      <c r="G89" s="19" t="s">
        <v>1494</v>
      </c>
      <c r="H89" s="15">
        <f t="shared" si="1"/>
        <v>48</v>
      </c>
      <c r="I89" s="19" t="s">
        <v>1495</v>
      </c>
      <c r="J89" s="15">
        <f t="shared" si="2"/>
        <v>143</v>
      </c>
      <c r="K89" s="11" t="s">
        <v>1496</v>
      </c>
      <c r="L89" s="18"/>
      <c r="M89" s="15">
        <v>900.0</v>
      </c>
      <c r="N89" s="18" t="s">
        <v>373</v>
      </c>
      <c r="O89" s="18" t="s">
        <v>1294</v>
      </c>
      <c r="P89" s="18" t="s">
        <v>1343</v>
      </c>
      <c r="Q89" s="18" t="s">
        <v>1344</v>
      </c>
      <c r="R89" s="18" t="s">
        <v>1497</v>
      </c>
      <c r="S89" s="18" t="s">
        <v>1349</v>
      </c>
      <c r="T89" s="11"/>
      <c r="U89" s="24" t="s">
        <v>30</v>
      </c>
      <c r="V89" s="24" t="s">
        <v>30</v>
      </c>
      <c r="W89" s="24"/>
      <c r="X89" s="24" t="s">
        <v>32</v>
      </c>
    </row>
    <row r="90" ht="57.75" customHeight="1">
      <c r="A90" s="17" t="s">
        <v>1498</v>
      </c>
      <c r="B90" s="8" t="s">
        <v>344</v>
      </c>
      <c r="C90" s="8">
        <v>1.0</v>
      </c>
      <c r="D90" s="9" t="s">
        <v>408</v>
      </c>
      <c r="E90" s="12" t="s">
        <v>1499</v>
      </c>
      <c r="F90" s="9" t="s">
        <v>1500</v>
      </c>
      <c r="G90" s="19" t="s">
        <v>1501</v>
      </c>
      <c r="H90" s="8">
        <f t="shared" si="1"/>
        <v>49</v>
      </c>
      <c r="I90" s="19" t="s">
        <v>1502</v>
      </c>
      <c r="J90" s="8">
        <f t="shared" si="2"/>
        <v>152</v>
      </c>
      <c r="K90" s="9" t="s">
        <v>1503</v>
      </c>
      <c r="L90" s="14"/>
      <c r="M90" s="8">
        <v>700.0</v>
      </c>
      <c r="N90" s="14" t="s">
        <v>1504</v>
      </c>
      <c r="O90" s="14" t="s">
        <v>88</v>
      </c>
      <c r="P90" s="14" t="s">
        <v>1505</v>
      </c>
      <c r="Q90" s="14" t="s">
        <v>1506</v>
      </c>
      <c r="R90" s="14" t="s">
        <v>1507</v>
      </c>
      <c r="S90" s="14" t="s">
        <v>1508</v>
      </c>
      <c r="T90" s="9"/>
      <c r="U90" s="24" t="s">
        <v>30</v>
      </c>
      <c r="V90" s="24" t="s">
        <v>30</v>
      </c>
      <c r="W90" s="24"/>
      <c r="X90" s="24" t="s">
        <v>32</v>
      </c>
    </row>
    <row r="91" ht="57.75" customHeight="1">
      <c r="A91" s="26" t="s">
        <v>1509</v>
      </c>
      <c r="B91" s="15" t="s">
        <v>81</v>
      </c>
      <c r="C91" s="15">
        <v>1.0</v>
      </c>
      <c r="D91" s="11" t="s">
        <v>408</v>
      </c>
      <c r="E91" s="16" t="s">
        <v>1510</v>
      </c>
      <c r="F91" s="11" t="s">
        <v>1511</v>
      </c>
      <c r="G91" s="19" t="s">
        <v>1512</v>
      </c>
      <c r="H91" s="15">
        <f t="shared" si="1"/>
        <v>50</v>
      </c>
      <c r="I91" s="19" t="s">
        <v>1513</v>
      </c>
      <c r="J91" s="15">
        <f t="shared" si="2"/>
        <v>144</v>
      </c>
      <c r="K91" s="11" t="s">
        <v>1514</v>
      </c>
      <c r="L91" s="18"/>
      <c r="M91" s="15">
        <v>700.0</v>
      </c>
      <c r="N91" s="18" t="s">
        <v>1515</v>
      </c>
      <c r="O91" s="18" t="s">
        <v>88</v>
      </c>
      <c r="P91" s="18" t="s">
        <v>1505</v>
      </c>
      <c r="Q91" s="18" t="s">
        <v>1506</v>
      </c>
      <c r="R91" s="18" t="s">
        <v>1516</v>
      </c>
      <c r="S91" s="18" t="s">
        <v>1508</v>
      </c>
      <c r="T91" s="11"/>
      <c r="U91" s="24" t="s">
        <v>30</v>
      </c>
      <c r="V91" s="24" t="s">
        <v>30</v>
      </c>
      <c r="W91" s="24"/>
      <c r="X91" s="24" t="s">
        <v>32</v>
      </c>
    </row>
    <row r="92" ht="57.75" customHeight="1">
      <c r="A92" s="17" t="s">
        <v>1517</v>
      </c>
      <c r="B92" s="8" t="s">
        <v>344</v>
      </c>
      <c r="C92" s="8">
        <v>2.0</v>
      </c>
      <c r="D92" s="9" t="s">
        <v>408</v>
      </c>
      <c r="E92" s="12" t="s">
        <v>1518</v>
      </c>
      <c r="F92" s="9" t="s">
        <v>1519</v>
      </c>
      <c r="G92" s="19" t="s">
        <v>1519</v>
      </c>
      <c r="H92" s="8">
        <f t="shared" si="1"/>
        <v>39</v>
      </c>
      <c r="I92" s="19" t="s">
        <v>1520</v>
      </c>
      <c r="J92" s="8">
        <f t="shared" si="2"/>
        <v>150</v>
      </c>
      <c r="K92" s="9" t="s">
        <v>1521</v>
      </c>
      <c r="L92" s="14"/>
      <c r="M92" s="8">
        <v>700.0</v>
      </c>
      <c r="N92" s="14" t="s">
        <v>1515</v>
      </c>
      <c r="O92" s="14" t="s">
        <v>88</v>
      </c>
      <c r="P92" s="14" t="s">
        <v>1505</v>
      </c>
      <c r="Q92" s="14" t="s">
        <v>1506</v>
      </c>
      <c r="R92" s="14" t="s">
        <v>1522</v>
      </c>
      <c r="S92" s="14" t="s">
        <v>1508</v>
      </c>
      <c r="T92" s="9"/>
      <c r="U92" s="24" t="s">
        <v>30</v>
      </c>
      <c r="V92" s="24" t="s">
        <v>30</v>
      </c>
      <c r="W92" s="24"/>
      <c r="X92" s="24" t="s">
        <v>32</v>
      </c>
    </row>
    <row r="93" ht="57.75" customHeight="1">
      <c r="A93" s="26" t="s">
        <v>1523</v>
      </c>
      <c r="B93" s="15" t="s">
        <v>344</v>
      </c>
      <c r="C93" s="15">
        <v>2.0</v>
      </c>
      <c r="D93" s="11" t="s">
        <v>408</v>
      </c>
      <c r="E93" s="16" t="s">
        <v>1524</v>
      </c>
      <c r="F93" s="11" t="s">
        <v>1525</v>
      </c>
      <c r="G93" s="19" t="s">
        <v>1526</v>
      </c>
      <c r="H93" s="15">
        <f t="shared" si="1"/>
        <v>51</v>
      </c>
      <c r="I93" s="19" t="s">
        <v>1527</v>
      </c>
      <c r="J93" s="15">
        <f t="shared" si="2"/>
        <v>139</v>
      </c>
      <c r="K93" s="11" t="s">
        <v>1528</v>
      </c>
      <c r="L93" s="18"/>
      <c r="M93" s="15">
        <v>700.0</v>
      </c>
      <c r="N93" s="18" t="s">
        <v>1515</v>
      </c>
      <c r="O93" s="18" t="s">
        <v>88</v>
      </c>
      <c r="P93" s="18" t="s">
        <v>1505</v>
      </c>
      <c r="Q93" s="18" t="s">
        <v>1506</v>
      </c>
      <c r="R93" s="18" t="s">
        <v>1529</v>
      </c>
      <c r="S93" s="18" t="s">
        <v>1508</v>
      </c>
      <c r="T93" s="11"/>
      <c r="U93" s="24" t="s">
        <v>30</v>
      </c>
      <c r="V93" s="24" t="s">
        <v>30</v>
      </c>
      <c r="W93" s="24"/>
      <c r="X93" s="24" t="s">
        <v>32</v>
      </c>
    </row>
    <row r="94" ht="57.75" customHeight="1">
      <c r="A94" s="17" t="s">
        <v>1530</v>
      </c>
      <c r="B94" s="8" t="s">
        <v>344</v>
      </c>
      <c r="C94" s="8">
        <v>2.0</v>
      </c>
      <c r="D94" s="9" t="s">
        <v>408</v>
      </c>
      <c r="E94" s="12" t="s">
        <v>1531</v>
      </c>
      <c r="F94" s="9" t="s">
        <v>1532</v>
      </c>
      <c r="G94" s="19" t="s">
        <v>1533</v>
      </c>
      <c r="H94" s="8">
        <f t="shared" si="1"/>
        <v>50</v>
      </c>
      <c r="I94" s="19" t="s">
        <v>1534</v>
      </c>
      <c r="J94" s="8">
        <f t="shared" si="2"/>
        <v>134</v>
      </c>
      <c r="K94" s="9" t="s">
        <v>1535</v>
      </c>
      <c r="L94" s="14"/>
      <c r="M94" s="8">
        <v>700.0</v>
      </c>
      <c r="N94" s="14" t="s">
        <v>1515</v>
      </c>
      <c r="O94" s="14" t="s">
        <v>88</v>
      </c>
      <c r="P94" s="14" t="s">
        <v>1505</v>
      </c>
      <c r="Q94" s="14" t="s">
        <v>1506</v>
      </c>
      <c r="R94" s="14" t="s">
        <v>1536</v>
      </c>
      <c r="S94" s="14" t="s">
        <v>1508</v>
      </c>
      <c r="T94" s="9"/>
      <c r="U94" s="24" t="s">
        <v>30</v>
      </c>
      <c r="V94" s="24" t="s">
        <v>30</v>
      </c>
      <c r="W94" s="24"/>
      <c r="X94" s="24" t="s">
        <v>32</v>
      </c>
    </row>
    <row r="95" ht="57.75" customHeight="1">
      <c r="A95" s="26" t="s">
        <v>1537</v>
      </c>
      <c r="B95" s="15" t="s">
        <v>81</v>
      </c>
      <c r="C95" s="15">
        <v>1.0</v>
      </c>
      <c r="D95" s="11" t="s">
        <v>408</v>
      </c>
      <c r="E95" s="16" t="s">
        <v>740</v>
      </c>
      <c r="F95" s="11" t="s">
        <v>1538</v>
      </c>
      <c r="G95" s="19" t="s">
        <v>1539</v>
      </c>
      <c r="H95" s="15">
        <f t="shared" si="1"/>
        <v>55</v>
      </c>
      <c r="I95" s="19" t="s">
        <v>1540</v>
      </c>
      <c r="J95" s="15">
        <f t="shared" si="2"/>
        <v>135</v>
      </c>
      <c r="K95" s="11" t="s">
        <v>1541</v>
      </c>
      <c r="L95" s="18"/>
      <c r="M95" s="15">
        <v>700.0</v>
      </c>
      <c r="N95" s="18" t="s">
        <v>1515</v>
      </c>
      <c r="O95" s="18" t="s">
        <v>88</v>
      </c>
      <c r="P95" s="18" t="s">
        <v>1505</v>
      </c>
      <c r="Q95" s="18" t="s">
        <v>1506</v>
      </c>
      <c r="R95" s="18" t="s">
        <v>1542</v>
      </c>
      <c r="S95" s="18" t="s">
        <v>1508</v>
      </c>
      <c r="T95" s="11"/>
      <c r="U95" s="24" t="s">
        <v>30</v>
      </c>
      <c r="V95" s="24" t="s">
        <v>30</v>
      </c>
      <c r="W95" s="24"/>
      <c r="X95" s="24" t="s">
        <v>32</v>
      </c>
    </row>
    <row r="96" ht="57.75" customHeight="1">
      <c r="A96" s="17" t="s">
        <v>1543</v>
      </c>
      <c r="B96" s="8" t="s">
        <v>81</v>
      </c>
      <c r="C96" s="8">
        <v>1.0</v>
      </c>
      <c r="D96" s="9" t="s">
        <v>408</v>
      </c>
      <c r="E96" s="12" t="s">
        <v>1544</v>
      </c>
      <c r="F96" s="9" t="s">
        <v>1545</v>
      </c>
      <c r="G96" s="19" t="s">
        <v>1546</v>
      </c>
      <c r="H96" s="8">
        <f t="shared" si="1"/>
        <v>50</v>
      </c>
      <c r="I96" s="19" t="s">
        <v>1547</v>
      </c>
      <c r="J96" s="8">
        <f t="shared" si="2"/>
        <v>142</v>
      </c>
      <c r="K96" s="9" t="s">
        <v>1548</v>
      </c>
      <c r="L96" s="14"/>
      <c r="M96" s="8">
        <v>700.0</v>
      </c>
      <c r="N96" s="14" t="s">
        <v>1549</v>
      </c>
      <c r="O96" s="14" t="s">
        <v>88</v>
      </c>
      <c r="P96" s="14" t="s">
        <v>1505</v>
      </c>
      <c r="Q96" s="14" t="s">
        <v>1506</v>
      </c>
      <c r="R96" s="14" t="s">
        <v>1550</v>
      </c>
      <c r="S96" s="14" t="s">
        <v>1508</v>
      </c>
      <c r="T96" s="9"/>
      <c r="U96" s="24" t="s">
        <v>30</v>
      </c>
      <c r="V96" s="24" t="s">
        <v>30</v>
      </c>
      <c r="W96" s="24"/>
      <c r="X96" s="24" t="s">
        <v>32</v>
      </c>
    </row>
    <row r="97" ht="57.75" customHeight="1">
      <c r="A97" s="26" t="s">
        <v>1551</v>
      </c>
      <c r="B97" s="15" t="s">
        <v>683</v>
      </c>
      <c r="C97" s="15">
        <v>4.0</v>
      </c>
      <c r="D97" s="11" t="s">
        <v>237</v>
      </c>
      <c r="E97" s="16" t="s">
        <v>1552</v>
      </c>
      <c r="F97" s="11" t="s">
        <v>1553</v>
      </c>
      <c r="G97" s="19" t="s">
        <v>1553</v>
      </c>
      <c r="H97" s="15">
        <f t="shared" si="1"/>
        <v>56</v>
      </c>
      <c r="I97" s="19" t="s">
        <v>1554</v>
      </c>
      <c r="J97" s="15">
        <f t="shared" si="2"/>
        <v>156</v>
      </c>
      <c r="K97" s="11" t="s">
        <v>1555</v>
      </c>
      <c r="L97" s="18"/>
      <c r="M97" s="15">
        <v>1500.0</v>
      </c>
      <c r="N97" s="18" t="s">
        <v>1556</v>
      </c>
      <c r="O97" s="18" t="s">
        <v>1557</v>
      </c>
      <c r="P97" s="18" t="s">
        <v>1558</v>
      </c>
      <c r="Q97" s="18" t="s">
        <v>1559</v>
      </c>
      <c r="R97" s="18" t="s">
        <v>1560</v>
      </c>
      <c r="S97" s="18" t="s">
        <v>1561</v>
      </c>
      <c r="T97" s="11"/>
      <c r="U97" s="24" t="s">
        <v>30</v>
      </c>
      <c r="V97" s="24" t="s">
        <v>30</v>
      </c>
      <c r="W97" s="24"/>
      <c r="X97" s="24" t="s">
        <v>32</v>
      </c>
    </row>
    <row r="98" ht="57.75" customHeight="1">
      <c r="A98" s="17" t="s">
        <v>1562</v>
      </c>
      <c r="B98" s="8" t="s">
        <v>683</v>
      </c>
      <c r="C98" s="8">
        <v>4.0</v>
      </c>
      <c r="D98" s="9" t="s">
        <v>237</v>
      </c>
      <c r="E98" s="12" t="s">
        <v>1563</v>
      </c>
      <c r="F98" s="9" t="s">
        <v>1564</v>
      </c>
      <c r="G98" s="19" t="s">
        <v>1564</v>
      </c>
      <c r="H98" s="8">
        <f t="shared" si="1"/>
        <v>56</v>
      </c>
      <c r="I98" s="19" t="s">
        <v>1565</v>
      </c>
      <c r="J98" s="8">
        <f t="shared" si="2"/>
        <v>150</v>
      </c>
      <c r="K98" s="9" t="s">
        <v>1566</v>
      </c>
      <c r="L98" s="14"/>
      <c r="M98" s="8">
        <v>1400.0</v>
      </c>
      <c r="N98" s="14" t="s">
        <v>1556</v>
      </c>
      <c r="O98" s="14" t="s">
        <v>1557</v>
      </c>
      <c r="P98" s="14" t="s">
        <v>1558</v>
      </c>
      <c r="Q98" s="14" t="s">
        <v>1559</v>
      </c>
      <c r="R98" s="14" t="s">
        <v>1567</v>
      </c>
      <c r="S98" s="14" t="s">
        <v>1561</v>
      </c>
      <c r="T98" s="9"/>
      <c r="U98" s="24" t="s">
        <v>30</v>
      </c>
      <c r="V98" s="24" t="s">
        <v>30</v>
      </c>
      <c r="W98" s="24"/>
      <c r="X98" s="24" t="s">
        <v>32</v>
      </c>
    </row>
    <row r="99" ht="57.75" customHeight="1">
      <c r="A99" s="26" t="s">
        <v>1568</v>
      </c>
      <c r="B99" s="15" t="s">
        <v>683</v>
      </c>
      <c r="C99" s="15">
        <v>4.0</v>
      </c>
      <c r="D99" s="11" t="s">
        <v>237</v>
      </c>
      <c r="E99" s="16" t="s">
        <v>1569</v>
      </c>
      <c r="F99" s="11" t="s">
        <v>1570</v>
      </c>
      <c r="G99" s="19" t="s">
        <v>1570</v>
      </c>
      <c r="H99" s="15">
        <f t="shared" si="1"/>
        <v>56</v>
      </c>
      <c r="I99" s="19" t="s">
        <v>1571</v>
      </c>
      <c r="J99" s="15">
        <f t="shared" si="2"/>
        <v>151</v>
      </c>
      <c r="K99" s="11" t="s">
        <v>1572</v>
      </c>
      <c r="L99" s="18"/>
      <c r="M99" s="15">
        <v>1500.0</v>
      </c>
      <c r="N99" s="18" t="s">
        <v>1556</v>
      </c>
      <c r="O99" s="18" t="s">
        <v>1557</v>
      </c>
      <c r="P99" s="18" t="s">
        <v>1558</v>
      </c>
      <c r="Q99" s="18" t="s">
        <v>1559</v>
      </c>
      <c r="R99" s="18" t="s">
        <v>1573</v>
      </c>
      <c r="S99" s="18" t="s">
        <v>1561</v>
      </c>
      <c r="T99" s="11"/>
      <c r="U99" s="24" t="s">
        <v>30</v>
      </c>
      <c r="V99" s="24" t="s">
        <v>30</v>
      </c>
      <c r="W99" s="24"/>
      <c r="X99" s="24" t="s">
        <v>32</v>
      </c>
    </row>
    <row r="100" ht="57.75" customHeight="1">
      <c r="A100" s="17" t="s">
        <v>1574</v>
      </c>
      <c r="B100" s="8" t="s">
        <v>683</v>
      </c>
      <c r="C100" s="8">
        <v>4.0</v>
      </c>
      <c r="D100" s="9" t="s">
        <v>237</v>
      </c>
      <c r="E100" s="12" t="s">
        <v>1575</v>
      </c>
      <c r="F100" s="9" t="s">
        <v>1576</v>
      </c>
      <c r="G100" s="19" t="s">
        <v>1576</v>
      </c>
      <c r="H100" s="8">
        <f t="shared" si="1"/>
        <v>56</v>
      </c>
      <c r="I100" s="19" t="s">
        <v>1577</v>
      </c>
      <c r="J100" s="8">
        <f t="shared" si="2"/>
        <v>150</v>
      </c>
      <c r="K100" s="9" t="s">
        <v>1578</v>
      </c>
      <c r="L100" s="14"/>
      <c r="M100" s="8">
        <v>1600.0</v>
      </c>
      <c r="N100" s="14" t="s">
        <v>1556</v>
      </c>
      <c r="O100" s="14" t="s">
        <v>1557</v>
      </c>
      <c r="P100" s="14" t="s">
        <v>1558</v>
      </c>
      <c r="Q100" s="14" t="s">
        <v>1559</v>
      </c>
      <c r="R100" s="14" t="s">
        <v>1579</v>
      </c>
      <c r="S100" s="14" t="s">
        <v>1561</v>
      </c>
      <c r="T100" s="9"/>
      <c r="U100" s="24" t="s">
        <v>30</v>
      </c>
      <c r="V100" s="24" t="s">
        <v>30</v>
      </c>
      <c r="W100" s="24"/>
      <c r="X100" s="24" t="s">
        <v>32</v>
      </c>
    </row>
    <row r="101" ht="57.75" customHeight="1">
      <c r="A101" s="26" t="s">
        <v>1580</v>
      </c>
      <c r="B101" s="15" t="s">
        <v>683</v>
      </c>
      <c r="C101" s="15">
        <v>4.0</v>
      </c>
      <c r="D101" s="11" t="s">
        <v>237</v>
      </c>
      <c r="E101" s="16" t="s">
        <v>1581</v>
      </c>
      <c r="F101" s="11" t="s">
        <v>1582</v>
      </c>
      <c r="G101" s="19" t="s">
        <v>1582</v>
      </c>
      <c r="H101" s="15">
        <f t="shared" si="1"/>
        <v>56</v>
      </c>
      <c r="I101" s="19" t="s">
        <v>1583</v>
      </c>
      <c r="J101" s="15">
        <f t="shared" si="2"/>
        <v>154</v>
      </c>
      <c r="K101" s="11" t="s">
        <v>1584</v>
      </c>
      <c r="L101" s="18"/>
      <c r="M101" s="15">
        <v>1400.0</v>
      </c>
      <c r="N101" s="18" t="s">
        <v>1556</v>
      </c>
      <c r="O101" s="18" t="s">
        <v>1557</v>
      </c>
      <c r="P101" s="18" t="s">
        <v>1558</v>
      </c>
      <c r="Q101" s="18" t="s">
        <v>1559</v>
      </c>
      <c r="R101" s="18" t="s">
        <v>1585</v>
      </c>
      <c r="S101" s="18" t="s">
        <v>1561</v>
      </c>
      <c r="T101" s="11"/>
      <c r="U101" s="24" t="s">
        <v>30</v>
      </c>
      <c r="V101" s="24" t="s">
        <v>30</v>
      </c>
      <c r="W101" s="24"/>
      <c r="X101" s="24" t="s">
        <v>32</v>
      </c>
    </row>
    <row r="102" ht="57.75" customHeight="1">
      <c r="A102" s="17" t="s">
        <v>1586</v>
      </c>
      <c r="B102" s="8" t="s">
        <v>683</v>
      </c>
      <c r="C102" s="8">
        <v>4.0</v>
      </c>
      <c r="D102" s="9" t="s">
        <v>237</v>
      </c>
      <c r="E102" s="12" t="s">
        <v>1587</v>
      </c>
      <c r="F102" s="9" t="s">
        <v>1588</v>
      </c>
      <c r="G102" s="19" t="s">
        <v>1588</v>
      </c>
      <c r="H102" s="8">
        <f t="shared" si="1"/>
        <v>50</v>
      </c>
      <c r="I102" s="19" t="s">
        <v>1589</v>
      </c>
      <c r="J102" s="8">
        <f t="shared" si="2"/>
        <v>156</v>
      </c>
      <c r="K102" s="9" t="s">
        <v>1590</v>
      </c>
      <c r="L102" s="14"/>
      <c r="M102" s="8">
        <v>1200.0</v>
      </c>
      <c r="N102" s="14" t="s">
        <v>1556</v>
      </c>
      <c r="O102" s="14" t="s">
        <v>1557</v>
      </c>
      <c r="P102" s="14" t="s">
        <v>1558</v>
      </c>
      <c r="Q102" s="14" t="s">
        <v>1559</v>
      </c>
      <c r="R102" s="14" t="s">
        <v>1591</v>
      </c>
      <c r="S102" s="14" t="s">
        <v>1561</v>
      </c>
      <c r="T102" s="9"/>
      <c r="U102" s="24" t="s">
        <v>30</v>
      </c>
      <c r="V102" s="24" t="s">
        <v>30</v>
      </c>
      <c r="W102" s="24"/>
      <c r="X102" s="24" t="s">
        <v>32</v>
      </c>
    </row>
    <row r="103" ht="57.75" customHeight="1">
      <c r="A103" s="26" t="s">
        <v>1592</v>
      </c>
      <c r="B103" s="15" t="s">
        <v>683</v>
      </c>
      <c r="C103" s="15">
        <v>4.0</v>
      </c>
      <c r="D103" s="11" t="s">
        <v>237</v>
      </c>
      <c r="E103" s="16" t="s">
        <v>1593</v>
      </c>
      <c r="F103" s="11" t="s">
        <v>1594</v>
      </c>
      <c r="G103" s="19" t="s">
        <v>1594</v>
      </c>
      <c r="H103" s="15">
        <f t="shared" si="1"/>
        <v>50</v>
      </c>
      <c r="I103" s="19" t="s">
        <v>1595</v>
      </c>
      <c r="J103" s="15">
        <f t="shared" si="2"/>
        <v>151</v>
      </c>
      <c r="K103" s="11" t="s">
        <v>1596</v>
      </c>
      <c r="L103" s="18"/>
      <c r="M103" s="15">
        <v>1300.0</v>
      </c>
      <c r="N103" s="18" t="s">
        <v>1556</v>
      </c>
      <c r="O103" s="18" t="s">
        <v>1557</v>
      </c>
      <c r="P103" s="18" t="s">
        <v>1558</v>
      </c>
      <c r="Q103" s="18" t="s">
        <v>1559</v>
      </c>
      <c r="R103" s="18" t="s">
        <v>1597</v>
      </c>
      <c r="S103" s="18" t="s">
        <v>1561</v>
      </c>
      <c r="T103" s="11"/>
      <c r="U103" s="24" t="s">
        <v>30</v>
      </c>
      <c r="V103" s="24" t="s">
        <v>30</v>
      </c>
      <c r="W103" s="24"/>
      <c r="X103" s="24" t="s">
        <v>32</v>
      </c>
    </row>
    <row r="104" ht="57.75" customHeight="1">
      <c r="A104" s="17" t="s">
        <v>1598</v>
      </c>
      <c r="B104" s="8" t="s">
        <v>683</v>
      </c>
      <c r="C104" s="8">
        <v>4.0</v>
      </c>
      <c r="D104" s="9" t="s">
        <v>237</v>
      </c>
      <c r="E104" s="12" t="s">
        <v>1599</v>
      </c>
      <c r="F104" s="9" t="s">
        <v>1600</v>
      </c>
      <c r="G104" s="19" t="s">
        <v>1600</v>
      </c>
      <c r="H104" s="8">
        <f t="shared" si="1"/>
        <v>52</v>
      </c>
      <c r="I104" s="19" t="s">
        <v>1601</v>
      </c>
      <c r="J104" s="8">
        <f t="shared" si="2"/>
        <v>152</v>
      </c>
      <c r="K104" s="9" t="s">
        <v>1602</v>
      </c>
      <c r="L104" s="14"/>
      <c r="M104" s="8">
        <v>1400.0</v>
      </c>
      <c r="N104" s="14" t="s">
        <v>1556</v>
      </c>
      <c r="O104" s="14" t="s">
        <v>1557</v>
      </c>
      <c r="P104" s="14" t="s">
        <v>1558</v>
      </c>
      <c r="Q104" s="14" t="s">
        <v>1559</v>
      </c>
      <c r="R104" s="14" t="s">
        <v>1603</v>
      </c>
      <c r="S104" s="14" t="s">
        <v>1561</v>
      </c>
      <c r="T104" s="9"/>
      <c r="U104" s="24" t="s">
        <v>30</v>
      </c>
      <c r="V104" s="24" t="s">
        <v>30</v>
      </c>
      <c r="W104" s="24"/>
      <c r="X104" s="24" t="s">
        <v>32</v>
      </c>
    </row>
    <row r="105" ht="57.75" customHeight="1">
      <c r="A105" s="26" t="s">
        <v>1604</v>
      </c>
      <c r="B105" s="15" t="s">
        <v>683</v>
      </c>
      <c r="C105" s="15">
        <v>4.0</v>
      </c>
      <c r="D105" s="11" t="s">
        <v>237</v>
      </c>
      <c r="E105" s="16" t="s">
        <v>1605</v>
      </c>
      <c r="F105" s="11" t="s">
        <v>1606</v>
      </c>
      <c r="G105" s="19" t="s">
        <v>1606</v>
      </c>
      <c r="H105" s="15">
        <f t="shared" si="1"/>
        <v>47</v>
      </c>
      <c r="I105" s="19" t="s">
        <v>1607</v>
      </c>
      <c r="J105" s="15">
        <f t="shared" si="2"/>
        <v>151</v>
      </c>
      <c r="K105" s="11" t="s">
        <v>1608</v>
      </c>
      <c r="L105" s="18"/>
      <c r="M105" s="15">
        <v>1300.0</v>
      </c>
      <c r="N105" s="18" t="s">
        <v>1556</v>
      </c>
      <c r="O105" s="18" t="s">
        <v>1557</v>
      </c>
      <c r="P105" s="18" t="s">
        <v>1558</v>
      </c>
      <c r="Q105" s="18" t="s">
        <v>1559</v>
      </c>
      <c r="R105" s="18" t="s">
        <v>1609</v>
      </c>
      <c r="S105" s="18" t="s">
        <v>1561</v>
      </c>
      <c r="T105" s="11"/>
      <c r="U105" s="24" t="s">
        <v>30</v>
      </c>
      <c r="V105" s="24" t="s">
        <v>30</v>
      </c>
      <c r="W105" s="24"/>
      <c r="X105" s="24" t="s">
        <v>32</v>
      </c>
    </row>
    <row r="106" ht="57.75" customHeight="1">
      <c r="A106" s="17" t="s">
        <v>1610</v>
      </c>
      <c r="B106" s="8" t="s">
        <v>683</v>
      </c>
      <c r="C106" s="8">
        <v>4.0</v>
      </c>
      <c r="D106" s="9" t="s">
        <v>237</v>
      </c>
      <c r="E106" s="12" t="s">
        <v>1611</v>
      </c>
      <c r="F106" s="9" t="s">
        <v>1612</v>
      </c>
      <c r="G106" s="19" t="s">
        <v>1612</v>
      </c>
      <c r="H106" s="8">
        <f t="shared" si="1"/>
        <v>54</v>
      </c>
      <c r="I106" s="19" t="s">
        <v>1613</v>
      </c>
      <c r="J106" s="8">
        <f t="shared" si="2"/>
        <v>152</v>
      </c>
      <c r="K106" s="9" t="s">
        <v>1614</v>
      </c>
      <c r="L106" s="14"/>
      <c r="M106" s="8">
        <v>1400.0</v>
      </c>
      <c r="N106" s="14" t="s">
        <v>1556</v>
      </c>
      <c r="O106" s="14" t="s">
        <v>1557</v>
      </c>
      <c r="P106" s="14" t="s">
        <v>1558</v>
      </c>
      <c r="Q106" s="14" t="s">
        <v>1559</v>
      </c>
      <c r="R106" s="14" t="s">
        <v>1615</v>
      </c>
      <c r="S106" s="14" t="s">
        <v>1561</v>
      </c>
      <c r="T106" s="9"/>
      <c r="U106" s="24" t="s">
        <v>30</v>
      </c>
      <c r="V106" s="24" t="s">
        <v>30</v>
      </c>
      <c r="W106" s="24"/>
      <c r="X106" s="24" t="s">
        <v>32</v>
      </c>
    </row>
    <row r="107" ht="57.75" customHeight="1">
      <c r="A107" s="26" t="s">
        <v>1616</v>
      </c>
      <c r="B107" s="15" t="s">
        <v>683</v>
      </c>
      <c r="C107" s="15">
        <v>4.0</v>
      </c>
      <c r="D107" s="11" t="s">
        <v>237</v>
      </c>
      <c r="E107" s="16" t="s">
        <v>1617</v>
      </c>
      <c r="F107" s="11" t="s">
        <v>1618</v>
      </c>
      <c r="G107" s="19" t="s">
        <v>1618</v>
      </c>
      <c r="H107" s="15">
        <f t="shared" si="1"/>
        <v>57</v>
      </c>
      <c r="I107" s="19" t="s">
        <v>1619</v>
      </c>
      <c r="J107" s="15">
        <f t="shared" si="2"/>
        <v>155</v>
      </c>
      <c r="K107" s="11" t="s">
        <v>1620</v>
      </c>
      <c r="L107" s="18"/>
      <c r="M107" s="15">
        <v>1200.0</v>
      </c>
      <c r="N107" s="18" t="s">
        <v>1556</v>
      </c>
      <c r="O107" s="18" t="s">
        <v>1557</v>
      </c>
      <c r="P107" s="18" t="s">
        <v>1558</v>
      </c>
      <c r="Q107" s="18" t="s">
        <v>1559</v>
      </c>
      <c r="R107" s="18" t="s">
        <v>1621</v>
      </c>
      <c r="S107" s="18" t="s">
        <v>1561</v>
      </c>
      <c r="T107" s="11"/>
      <c r="U107" s="24" t="s">
        <v>30</v>
      </c>
      <c r="V107" s="24" t="s">
        <v>30</v>
      </c>
      <c r="W107" s="24"/>
      <c r="X107" s="24" t="s">
        <v>32</v>
      </c>
    </row>
    <row r="108" ht="57.75" customHeight="1">
      <c r="A108" s="17" t="s">
        <v>1622</v>
      </c>
      <c r="B108" s="8" t="s">
        <v>683</v>
      </c>
      <c r="C108" s="8">
        <v>4.0</v>
      </c>
      <c r="D108" s="9" t="s">
        <v>237</v>
      </c>
      <c r="E108" s="12" t="s">
        <v>1623</v>
      </c>
      <c r="F108" s="9" t="s">
        <v>1624</v>
      </c>
      <c r="G108" s="19" t="s">
        <v>1624</v>
      </c>
      <c r="H108" s="8">
        <f t="shared" si="1"/>
        <v>58</v>
      </c>
      <c r="I108" s="19" t="s">
        <v>1625</v>
      </c>
      <c r="J108" s="8">
        <f t="shared" si="2"/>
        <v>152</v>
      </c>
      <c r="K108" s="9" t="s">
        <v>1626</v>
      </c>
      <c r="L108" s="14"/>
      <c r="M108" s="8">
        <v>1000.0</v>
      </c>
      <c r="N108" s="14" t="s">
        <v>1556</v>
      </c>
      <c r="O108" s="14" t="s">
        <v>1557</v>
      </c>
      <c r="P108" s="14" t="s">
        <v>1558</v>
      </c>
      <c r="Q108" s="14" t="s">
        <v>1559</v>
      </c>
      <c r="R108" s="14" t="s">
        <v>1627</v>
      </c>
      <c r="S108" s="14" t="s">
        <v>1561</v>
      </c>
      <c r="T108" s="9"/>
      <c r="U108" s="24" t="s">
        <v>30</v>
      </c>
      <c r="V108" s="24" t="s">
        <v>30</v>
      </c>
      <c r="W108" s="24"/>
      <c r="X108" s="24" t="s">
        <v>32</v>
      </c>
    </row>
    <row r="109" ht="57.75" customHeight="1">
      <c r="A109" s="26" t="s">
        <v>1628</v>
      </c>
      <c r="B109" s="15" t="s">
        <v>683</v>
      </c>
      <c r="C109" s="15">
        <v>4.0</v>
      </c>
      <c r="D109" s="11" t="s">
        <v>144</v>
      </c>
      <c r="E109" s="16" t="s">
        <v>1557</v>
      </c>
      <c r="F109" s="11" t="s">
        <v>1629</v>
      </c>
      <c r="G109" s="19" t="s">
        <v>1630</v>
      </c>
      <c r="H109" s="15">
        <f t="shared" si="1"/>
        <v>37</v>
      </c>
      <c r="I109" s="19" t="s">
        <v>1631</v>
      </c>
      <c r="J109" s="15">
        <f t="shared" si="2"/>
        <v>150</v>
      </c>
      <c r="K109" s="11" t="s">
        <v>1632</v>
      </c>
      <c r="L109" s="18"/>
      <c r="M109" s="15">
        <v>400.0</v>
      </c>
      <c r="N109" s="18" t="s">
        <v>1633</v>
      </c>
      <c r="O109" s="18" t="s">
        <v>88</v>
      </c>
      <c r="P109" s="18" t="s">
        <v>1634</v>
      </c>
      <c r="Q109" s="18" t="s">
        <v>1635</v>
      </c>
      <c r="R109" s="18" t="s">
        <v>1636</v>
      </c>
      <c r="S109" s="18" t="s">
        <v>1637</v>
      </c>
      <c r="T109" s="11"/>
      <c r="U109" s="24" t="s">
        <v>30</v>
      </c>
      <c r="V109" s="24" t="s">
        <v>30</v>
      </c>
      <c r="W109" s="24"/>
      <c r="X109" s="24" t="s">
        <v>32</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X$109"/>
  <mergeCells count="2">
    <mergeCell ref="A1:X1"/>
    <mergeCell ref="A2:X2"/>
  </mergeCells>
  <dataValidations>
    <dataValidation type="list" allowBlank="1" sqref="V4:V109">
      <formula1>"Not started,Drafted,Reviewed,Published"</formula1>
    </dataValidation>
    <dataValidation type="list" allowBlank="1" sqref="U4:U109">
      <formula1>"Not started,In progress,In review,Live,Blocked"</formula1>
    </dataValidation>
    <dataValidation type="list" allowBlank="1" sqref="X4:X109">
      <formula1>"No,Submitted,Indexed"</formula1>
    </dataValidation>
  </dataValidation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46.0"/>
    <col customWidth="1" min="3" max="3" width="24.0"/>
    <col customWidth="1" min="4" max="4" width="18.0"/>
    <col customWidth="1" min="5" max="5" width="44.0"/>
    <col customWidth="1" min="6" max="6" width="40.0"/>
    <col customWidth="1" min="7" max="7" width="52.0"/>
    <col customWidth="1" min="8" max="26" width="8.71"/>
  </cols>
  <sheetData>
    <row r="1" ht="30.0" customHeight="1">
      <c r="A1" s="1" t="s">
        <v>0</v>
      </c>
      <c r="B1" s="2"/>
      <c r="C1" s="2"/>
      <c r="D1" s="2"/>
      <c r="E1" s="2"/>
      <c r="F1" s="2"/>
      <c r="G1" s="3"/>
    </row>
    <row r="2" ht="21.75" customHeight="1">
      <c r="A2" s="4" t="s">
        <v>4</v>
      </c>
    </row>
    <row r="3" ht="31.5" customHeight="1">
      <c r="A3" s="5" t="s">
        <v>6</v>
      </c>
      <c r="B3" s="5" t="s">
        <v>9</v>
      </c>
      <c r="C3" s="5" t="s">
        <v>10</v>
      </c>
      <c r="D3" s="5" t="s">
        <v>11</v>
      </c>
      <c r="E3" s="5" t="s">
        <v>14</v>
      </c>
      <c r="F3" s="5" t="s">
        <v>15</v>
      </c>
      <c r="G3" s="5" t="s">
        <v>17</v>
      </c>
    </row>
    <row r="4" ht="31.5" customHeight="1">
      <c r="A4" s="8">
        <v>1.0</v>
      </c>
      <c r="B4" s="10" t="s">
        <v>25</v>
      </c>
      <c r="C4" s="9" t="s">
        <v>34</v>
      </c>
      <c r="D4" s="9" t="s">
        <v>36</v>
      </c>
      <c r="E4" s="12" t="s">
        <v>39</v>
      </c>
      <c r="F4" s="14" t="s">
        <v>48</v>
      </c>
      <c r="G4" s="14" t="s">
        <v>55</v>
      </c>
    </row>
    <row r="5" ht="31.5" customHeight="1">
      <c r="A5" s="15">
        <v>2.0</v>
      </c>
      <c r="B5" s="13" t="s">
        <v>66</v>
      </c>
      <c r="C5" s="11" t="s">
        <v>34</v>
      </c>
      <c r="D5" s="11" t="s">
        <v>36</v>
      </c>
      <c r="E5" s="16" t="s">
        <v>39</v>
      </c>
      <c r="F5" s="18" t="s">
        <v>48</v>
      </c>
      <c r="G5" s="18" t="s">
        <v>55</v>
      </c>
    </row>
    <row r="6" ht="31.5" customHeight="1">
      <c r="A6" s="8">
        <v>3.0</v>
      </c>
      <c r="B6" s="10" t="s">
        <v>83</v>
      </c>
      <c r="C6" s="9" t="s">
        <v>34</v>
      </c>
      <c r="D6" s="9" t="s">
        <v>36</v>
      </c>
      <c r="E6" s="12" t="s">
        <v>39</v>
      </c>
      <c r="F6" s="14" t="s">
        <v>48</v>
      </c>
      <c r="G6" s="14" t="s">
        <v>55</v>
      </c>
    </row>
    <row r="7" ht="31.5" customHeight="1">
      <c r="A7" s="15">
        <v>4.0</v>
      </c>
      <c r="B7" s="13" t="s">
        <v>92</v>
      </c>
      <c r="C7" s="11" t="s">
        <v>34</v>
      </c>
      <c r="D7" s="11" t="s">
        <v>36</v>
      </c>
      <c r="E7" s="16" t="s">
        <v>39</v>
      </c>
      <c r="F7" s="18" t="s">
        <v>48</v>
      </c>
      <c r="G7" s="18" t="s">
        <v>55</v>
      </c>
    </row>
    <row r="8" ht="31.5" customHeight="1">
      <c r="A8" s="8">
        <v>5.0</v>
      </c>
      <c r="B8" s="10" t="s">
        <v>97</v>
      </c>
      <c r="C8" s="9" t="s">
        <v>34</v>
      </c>
      <c r="D8" s="9" t="s">
        <v>36</v>
      </c>
      <c r="E8" s="12" t="s">
        <v>39</v>
      </c>
      <c r="F8" s="14" t="s">
        <v>48</v>
      </c>
      <c r="G8" s="14" t="s">
        <v>55</v>
      </c>
    </row>
    <row r="9" ht="31.5" customHeight="1">
      <c r="A9" s="15">
        <v>6.0</v>
      </c>
      <c r="B9" s="13" t="s">
        <v>99</v>
      </c>
      <c r="C9" s="11" t="s">
        <v>34</v>
      </c>
      <c r="D9" s="11" t="s">
        <v>36</v>
      </c>
      <c r="E9" s="16" t="s">
        <v>39</v>
      </c>
      <c r="F9" s="18" t="s">
        <v>48</v>
      </c>
      <c r="G9" s="18" t="s">
        <v>55</v>
      </c>
    </row>
    <row r="10" ht="31.5" customHeight="1">
      <c r="A10" s="8">
        <v>7.0</v>
      </c>
      <c r="B10" s="10" t="s">
        <v>101</v>
      </c>
      <c r="C10" s="9" t="s">
        <v>34</v>
      </c>
      <c r="D10" s="9" t="s">
        <v>36</v>
      </c>
      <c r="E10" s="12" t="s">
        <v>102</v>
      </c>
      <c r="F10" s="14" t="s">
        <v>48</v>
      </c>
      <c r="G10" s="14" t="s">
        <v>55</v>
      </c>
    </row>
    <row r="11" ht="31.5" customHeight="1">
      <c r="A11" s="15">
        <v>8.0</v>
      </c>
      <c r="B11" s="13" t="s">
        <v>103</v>
      </c>
      <c r="C11" s="11" t="s">
        <v>34</v>
      </c>
      <c r="D11" s="11" t="s">
        <v>36</v>
      </c>
      <c r="E11" s="16" t="s">
        <v>102</v>
      </c>
      <c r="F11" s="18" t="s">
        <v>48</v>
      </c>
      <c r="G11" s="18" t="s">
        <v>55</v>
      </c>
    </row>
    <row r="12" ht="31.5" customHeight="1">
      <c r="A12" s="8">
        <v>9.0</v>
      </c>
      <c r="B12" s="10" t="s">
        <v>105</v>
      </c>
      <c r="C12" s="9" t="s">
        <v>107</v>
      </c>
      <c r="D12" s="9" t="s">
        <v>108</v>
      </c>
      <c r="E12" s="12" t="s">
        <v>39</v>
      </c>
      <c r="F12" s="14" t="s">
        <v>109</v>
      </c>
      <c r="G12" s="14" t="s">
        <v>111</v>
      </c>
    </row>
    <row r="13" ht="31.5" customHeight="1">
      <c r="A13" s="15">
        <v>10.0</v>
      </c>
      <c r="B13" s="13" t="s">
        <v>112</v>
      </c>
      <c r="C13" s="11" t="s">
        <v>107</v>
      </c>
      <c r="D13" s="11" t="s">
        <v>108</v>
      </c>
      <c r="E13" s="16" t="s">
        <v>39</v>
      </c>
      <c r="F13" s="18" t="s">
        <v>109</v>
      </c>
      <c r="G13" s="18" t="s">
        <v>111</v>
      </c>
    </row>
    <row r="14" ht="31.5" customHeight="1">
      <c r="A14" s="8">
        <v>11.0</v>
      </c>
      <c r="B14" s="10" t="s">
        <v>116</v>
      </c>
      <c r="C14" s="9" t="s">
        <v>107</v>
      </c>
      <c r="D14" s="9" t="s">
        <v>108</v>
      </c>
      <c r="E14" s="12" t="s">
        <v>39</v>
      </c>
      <c r="F14" s="14" t="s">
        <v>109</v>
      </c>
      <c r="G14" s="14" t="s">
        <v>111</v>
      </c>
    </row>
    <row r="15" ht="31.5" customHeight="1">
      <c r="A15" s="15">
        <v>12.0</v>
      </c>
      <c r="B15" s="13" t="s">
        <v>121</v>
      </c>
      <c r="C15" s="11" t="s">
        <v>107</v>
      </c>
      <c r="D15" s="11" t="s">
        <v>108</v>
      </c>
      <c r="E15" s="16" t="s">
        <v>39</v>
      </c>
      <c r="F15" s="18" t="s">
        <v>109</v>
      </c>
      <c r="G15" s="18" t="s">
        <v>111</v>
      </c>
    </row>
    <row r="16" ht="31.5" customHeight="1">
      <c r="A16" s="8">
        <v>13.0</v>
      </c>
      <c r="B16" s="10" t="s">
        <v>125</v>
      </c>
      <c r="C16" s="9" t="s">
        <v>107</v>
      </c>
      <c r="D16" s="9" t="s">
        <v>108</v>
      </c>
      <c r="E16" s="12" t="s">
        <v>39</v>
      </c>
      <c r="F16" s="14" t="s">
        <v>109</v>
      </c>
      <c r="G16" s="14" t="s">
        <v>111</v>
      </c>
    </row>
    <row r="17" ht="31.5" customHeight="1">
      <c r="A17" s="15">
        <v>14.0</v>
      </c>
      <c r="B17" s="13" t="s">
        <v>127</v>
      </c>
      <c r="C17" s="11" t="s">
        <v>128</v>
      </c>
      <c r="D17" s="11" t="s">
        <v>130</v>
      </c>
      <c r="E17" s="16" t="s">
        <v>131</v>
      </c>
      <c r="F17" s="18" t="s">
        <v>132</v>
      </c>
      <c r="G17" s="18" t="s">
        <v>133</v>
      </c>
    </row>
    <row r="18" ht="31.5" customHeight="1">
      <c r="A18" s="8">
        <v>15.0</v>
      </c>
      <c r="B18" s="10" t="s">
        <v>134</v>
      </c>
      <c r="C18" s="9" t="s">
        <v>128</v>
      </c>
      <c r="D18" s="9" t="s">
        <v>130</v>
      </c>
      <c r="E18" s="12" t="s">
        <v>131</v>
      </c>
      <c r="F18" s="14" t="s">
        <v>132</v>
      </c>
      <c r="G18" s="14" t="s">
        <v>133</v>
      </c>
    </row>
    <row r="19" ht="31.5" customHeight="1">
      <c r="A19" s="15">
        <v>16.0</v>
      </c>
      <c r="B19" s="13" t="s">
        <v>137</v>
      </c>
      <c r="C19" s="11" t="s">
        <v>128</v>
      </c>
      <c r="D19" s="11" t="s">
        <v>130</v>
      </c>
      <c r="E19" s="16" t="s">
        <v>138</v>
      </c>
      <c r="F19" s="18" t="s">
        <v>132</v>
      </c>
      <c r="G19" s="18" t="s">
        <v>133</v>
      </c>
    </row>
    <row r="20" ht="31.5" customHeight="1">
      <c r="A20" s="8">
        <v>17.0</v>
      </c>
      <c r="B20" s="10" t="s">
        <v>140</v>
      </c>
      <c r="C20" s="9" t="s">
        <v>128</v>
      </c>
      <c r="D20" s="9" t="s">
        <v>130</v>
      </c>
      <c r="E20" s="12" t="s">
        <v>131</v>
      </c>
      <c r="F20" s="14" t="s">
        <v>132</v>
      </c>
      <c r="G20" s="14" t="s">
        <v>133</v>
      </c>
    </row>
    <row r="21" ht="31.5" customHeight="1">
      <c r="A21" s="15">
        <v>18.0</v>
      </c>
      <c r="B21" s="13" t="s">
        <v>143</v>
      </c>
      <c r="C21" s="11" t="s">
        <v>128</v>
      </c>
      <c r="D21" s="11" t="s">
        <v>130</v>
      </c>
      <c r="E21" s="16" t="s">
        <v>138</v>
      </c>
      <c r="F21" s="18" t="s">
        <v>132</v>
      </c>
      <c r="G21" s="18" t="s">
        <v>133</v>
      </c>
    </row>
    <row r="22" ht="31.5" customHeight="1">
      <c r="A22" s="8">
        <v>19.0</v>
      </c>
      <c r="B22" s="10" t="s">
        <v>145</v>
      </c>
      <c r="C22" s="9" t="s">
        <v>146</v>
      </c>
      <c r="D22" s="9" t="s">
        <v>130</v>
      </c>
      <c r="E22" s="12" t="s">
        <v>148</v>
      </c>
      <c r="F22" s="14" t="s">
        <v>149</v>
      </c>
      <c r="G22" s="14" t="s">
        <v>151</v>
      </c>
    </row>
    <row r="23" ht="31.5" customHeight="1">
      <c r="A23" s="15">
        <v>20.0</v>
      </c>
      <c r="B23" s="13" t="s">
        <v>152</v>
      </c>
      <c r="C23" s="11" t="s">
        <v>146</v>
      </c>
      <c r="D23" s="11" t="s">
        <v>130</v>
      </c>
      <c r="E23" s="16" t="s">
        <v>154</v>
      </c>
      <c r="F23" s="18" t="s">
        <v>149</v>
      </c>
      <c r="G23" s="18" t="s">
        <v>151</v>
      </c>
    </row>
    <row r="24" ht="31.5" customHeight="1">
      <c r="A24" s="8">
        <v>21.0</v>
      </c>
      <c r="B24" s="10" t="s">
        <v>156</v>
      </c>
      <c r="C24" s="9" t="s">
        <v>146</v>
      </c>
      <c r="D24" s="9" t="s">
        <v>130</v>
      </c>
      <c r="E24" s="12" t="s">
        <v>157</v>
      </c>
      <c r="F24" s="14" t="s">
        <v>149</v>
      </c>
      <c r="G24" s="14" t="s">
        <v>151</v>
      </c>
    </row>
    <row r="25" ht="31.5" customHeight="1">
      <c r="A25" s="15">
        <v>22.0</v>
      </c>
      <c r="B25" s="13" t="s">
        <v>161</v>
      </c>
      <c r="C25" s="11" t="s">
        <v>146</v>
      </c>
      <c r="D25" s="11" t="s">
        <v>130</v>
      </c>
      <c r="E25" s="16" t="s">
        <v>163</v>
      </c>
      <c r="F25" s="18" t="s">
        <v>149</v>
      </c>
      <c r="G25" s="18" t="s">
        <v>151</v>
      </c>
    </row>
    <row r="26" ht="31.5" customHeight="1">
      <c r="A26" s="8">
        <v>23.0</v>
      </c>
      <c r="B26" s="10" t="s">
        <v>165</v>
      </c>
      <c r="C26" s="9" t="s">
        <v>146</v>
      </c>
      <c r="D26" s="9" t="s">
        <v>130</v>
      </c>
      <c r="E26" s="12" t="s">
        <v>163</v>
      </c>
      <c r="F26" s="14" t="s">
        <v>149</v>
      </c>
      <c r="G26" s="14" t="s">
        <v>151</v>
      </c>
    </row>
    <row r="27" ht="31.5" customHeight="1">
      <c r="A27" s="15">
        <v>24.0</v>
      </c>
      <c r="B27" s="13" t="s">
        <v>170</v>
      </c>
      <c r="C27" s="11" t="s">
        <v>146</v>
      </c>
      <c r="D27" s="11" t="s">
        <v>130</v>
      </c>
      <c r="E27" s="16" t="s">
        <v>173</v>
      </c>
      <c r="F27" s="18" t="s">
        <v>149</v>
      </c>
      <c r="G27" s="18" t="s">
        <v>151</v>
      </c>
    </row>
    <row r="28" ht="31.5" customHeight="1">
      <c r="A28" s="8">
        <v>25.0</v>
      </c>
      <c r="B28" s="10" t="s">
        <v>174</v>
      </c>
      <c r="C28" s="9" t="s">
        <v>146</v>
      </c>
      <c r="D28" s="9" t="s">
        <v>130</v>
      </c>
      <c r="E28" s="12" t="s">
        <v>173</v>
      </c>
      <c r="F28" s="14" t="s">
        <v>149</v>
      </c>
      <c r="G28" s="14" t="s">
        <v>151</v>
      </c>
    </row>
    <row r="29" ht="31.5" customHeight="1">
      <c r="A29" s="15">
        <v>26.0</v>
      </c>
      <c r="B29" s="13" t="s">
        <v>180</v>
      </c>
      <c r="C29" s="11" t="s">
        <v>181</v>
      </c>
      <c r="D29" s="11" t="s">
        <v>183</v>
      </c>
      <c r="E29" s="16" t="s">
        <v>184</v>
      </c>
      <c r="F29" s="18" t="s">
        <v>185</v>
      </c>
      <c r="G29" s="18" t="s">
        <v>186</v>
      </c>
    </row>
    <row r="30" ht="31.5" customHeight="1">
      <c r="A30" s="8">
        <v>27.0</v>
      </c>
      <c r="B30" s="10" t="s">
        <v>189</v>
      </c>
      <c r="C30" s="9" t="s">
        <v>181</v>
      </c>
      <c r="D30" s="9" t="s">
        <v>183</v>
      </c>
      <c r="E30" s="12" t="s">
        <v>184</v>
      </c>
      <c r="F30" s="14" t="s">
        <v>185</v>
      </c>
      <c r="G30" s="14" t="s">
        <v>186</v>
      </c>
    </row>
    <row r="31" ht="31.5" customHeight="1">
      <c r="A31" s="15">
        <v>28.0</v>
      </c>
      <c r="B31" s="13" t="s">
        <v>196</v>
      </c>
      <c r="C31" s="11" t="s">
        <v>181</v>
      </c>
      <c r="D31" s="11" t="s">
        <v>183</v>
      </c>
      <c r="E31" s="16" t="s">
        <v>197</v>
      </c>
      <c r="F31" s="18" t="s">
        <v>185</v>
      </c>
      <c r="G31" s="18" t="s">
        <v>186</v>
      </c>
    </row>
    <row r="32" ht="31.5" customHeight="1">
      <c r="A32" s="8">
        <v>29.0</v>
      </c>
      <c r="B32" s="10" t="s">
        <v>199</v>
      </c>
      <c r="C32" s="9" t="s">
        <v>181</v>
      </c>
      <c r="D32" s="9" t="s">
        <v>183</v>
      </c>
      <c r="E32" s="12" t="s">
        <v>200</v>
      </c>
      <c r="F32" s="14" t="s">
        <v>185</v>
      </c>
      <c r="G32" s="14" t="s">
        <v>186</v>
      </c>
    </row>
    <row r="33" ht="31.5" customHeight="1">
      <c r="A33" s="15">
        <v>30.0</v>
      </c>
      <c r="B33" s="13" t="s">
        <v>203</v>
      </c>
      <c r="C33" s="11" t="s">
        <v>181</v>
      </c>
      <c r="D33" s="11" t="s">
        <v>183</v>
      </c>
      <c r="E33" s="16" t="s">
        <v>205</v>
      </c>
      <c r="F33" s="18" t="s">
        <v>185</v>
      </c>
      <c r="G33" s="18" t="s">
        <v>186</v>
      </c>
    </row>
    <row r="34" ht="31.5" customHeight="1">
      <c r="A34" s="8">
        <v>31.0</v>
      </c>
      <c r="B34" s="10" t="s">
        <v>208</v>
      </c>
      <c r="C34" s="9" t="s">
        <v>181</v>
      </c>
      <c r="D34" s="9" t="s">
        <v>183</v>
      </c>
      <c r="E34" s="12" t="s">
        <v>217</v>
      </c>
      <c r="F34" s="14" t="s">
        <v>185</v>
      </c>
      <c r="G34" s="14" t="s">
        <v>186</v>
      </c>
    </row>
    <row r="35" ht="31.5" customHeight="1">
      <c r="A35" s="15">
        <v>32.0</v>
      </c>
      <c r="B35" s="13" t="s">
        <v>218</v>
      </c>
      <c r="C35" s="11" t="s">
        <v>181</v>
      </c>
      <c r="D35" s="11" t="s">
        <v>183</v>
      </c>
      <c r="E35" s="16" t="s">
        <v>217</v>
      </c>
      <c r="F35" s="18" t="s">
        <v>185</v>
      </c>
      <c r="G35" s="18" t="s">
        <v>186</v>
      </c>
    </row>
    <row r="36" ht="31.5" customHeight="1">
      <c r="A36" s="8">
        <v>33.0</v>
      </c>
      <c r="B36" s="10" t="s">
        <v>220</v>
      </c>
      <c r="C36" s="9" t="s">
        <v>221</v>
      </c>
      <c r="D36" s="9" t="s">
        <v>183</v>
      </c>
      <c r="E36" s="12" t="s">
        <v>197</v>
      </c>
      <c r="F36" s="14" t="s">
        <v>223</v>
      </c>
      <c r="G36" s="14" t="s">
        <v>224</v>
      </c>
    </row>
    <row r="37" ht="31.5" customHeight="1">
      <c r="A37" s="15">
        <v>34.0</v>
      </c>
      <c r="B37" s="13" t="s">
        <v>225</v>
      </c>
      <c r="C37" s="11" t="s">
        <v>221</v>
      </c>
      <c r="D37" s="11" t="s">
        <v>183</v>
      </c>
      <c r="E37" s="16" t="s">
        <v>184</v>
      </c>
      <c r="F37" s="18" t="s">
        <v>223</v>
      </c>
      <c r="G37" s="18" t="s">
        <v>224</v>
      </c>
    </row>
    <row r="38" ht="31.5" customHeight="1">
      <c r="A38" s="8">
        <v>35.0</v>
      </c>
      <c r="B38" s="10" t="s">
        <v>229</v>
      </c>
      <c r="C38" s="9" t="s">
        <v>221</v>
      </c>
      <c r="D38" s="9" t="s">
        <v>183</v>
      </c>
      <c r="E38" s="12" t="s">
        <v>184</v>
      </c>
      <c r="F38" s="14" t="s">
        <v>223</v>
      </c>
      <c r="G38" s="14" t="s">
        <v>224</v>
      </c>
    </row>
    <row r="39" ht="31.5" customHeight="1">
      <c r="A39" s="15">
        <v>36.0</v>
      </c>
      <c r="B39" s="13" t="s">
        <v>234</v>
      </c>
      <c r="C39" s="11" t="s">
        <v>181</v>
      </c>
      <c r="D39" s="11" t="s">
        <v>183</v>
      </c>
      <c r="E39" s="16" t="s">
        <v>236</v>
      </c>
      <c r="F39" s="18" t="s">
        <v>185</v>
      </c>
      <c r="G39" s="18" t="s">
        <v>186</v>
      </c>
    </row>
    <row r="40" ht="31.5" customHeight="1">
      <c r="A40" s="8">
        <v>37.0</v>
      </c>
      <c r="B40" s="10" t="s">
        <v>238</v>
      </c>
      <c r="C40" s="9" t="s">
        <v>181</v>
      </c>
      <c r="D40" s="9" t="s">
        <v>183</v>
      </c>
      <c r="E40" s="12" t="s">
        <v>184</v>
      </c>
      <c r="F40" s="14" t="s">
        <v>185</v>
      </c>
      <c r="G40" s="14" t="s">
        <v>186</v>
      </c>
    </row>
    <row r="41" ht="31.5" customHeight="1">
      <c r="A41" s="15">
        <v>38.0</v>
      </c>
      <c r="B41" s="13" t="s">
        <v>242</v>
      </c>
      <c r="C41" s="11" t="s">
        <v>181</v>
      </c>
      <c r="D41" s="11" t="s">
        <v>183</v>
      </c>
      <c r="E41" s="16" t="s">
        <v>184</v>
      </c>
      <c r="F41" s="18" t="s">
        <v>185</v>
      </c>
      <c r="G41" s="18" t="s">
        <v>186</v>
      </c>
    </row>
    <row r="42" ht="31.5" customHeight="1">
      <c r="A42" s="8">
        <v>39.0</v>
      </c>
      <c r="B42" s="10" t="s">
        <v>245</v>
      </c>
      <c r="C42" s="9" t="s">
        <v>181</v>
      </c>
      <c r="D42" s="9" t="s">
        <v>183</v>
      </c>
      <c r="E42" s="12" t="s">
        <v>197</v>
      </c>
      <c r="F42" s="14" t="s">
        <v>185</v>
      </c>
      <c r="G42" s="14" t="s">
        <v>186</v>
      </c>
    </row>
    <row r="43" ht="31.5" customHeight="1">
      <c r="A43" s="15">
        <v>40.0</v>
      </c>
      <c r="B43" s="13" t="s">
        <v>248</v>
      </c>
      <c r="C43" s="11" t="s">
        <v>181</v>
      </c>
      <c r="D43" s="11" t="s">
        <v>183</v>
      </c>
      <c r="E43" s="16" t="s">
        <v>200</v>
      </c>
      <c r="F43" s="18" t="s">
        <v>185</v>
      </c>
      <c r="G43" s="18" t="s">
        <v>186</v>
      </c>
    </row>
    <row r="44" ht="31.5" customHeight="1">
      <c r="A44" s="8">
        <v>41.0</v>
      </c>
      <c r="B44" s="10" t="s">
        <v>249</v>
      </c>
      <c r="C44" s="9" t="s">
        <v>181</v>
      </c>
      <c r="D44" s="9" t="s">
        <v>183</v>
      </c>
      <c r="E44" s="12" t="s">
        <v>205</v>
      </c>
      <c r="F44" s="14" t="s">
        <v>185</v>
      </c>
      <c r="G44" s="14" t="s">
        <v>186</v>
      </c>
    </row>
    <row r="45" ht="31.5" customHeight="1">
      <c r="A45" s="15">
        <v>42.0</v>
      </c>
      <c r="B45" s="13" t="s">
        <v>251</v>
      </c>
      <c r="C45" s="11" t="s">
        <v>181</v>
      </c>
      <c r="D45" s="11" t="s">
        <v>183</v>
      </c>
      <c r="E45" s="16" t="s">
        <v>217</v>
      </c>
      <c r="F45" s="18" t="s">
        <v>185</v>
      </c>
      <c r="G45" s="18" t="s">
        <v>186</v>
      </c>
    </row>
    <row r="46" ht="31.5" customHeight="1">
      <c r="A46" s="8">
        <v>43.0</v>
      </c>
      <c r="B46" s="10" t="s">
        <v>255</v>
      </c>
      <c r="C46" s="9" t="s">
        <v>181</v>
      </c>
      <c r="D46" s="9" t="s">
        <v>183</v>
      </c>
      <c r="E46" s="12" t="s">
        <v>236</v>
      </c>
      <c r="F46" s="14" t="s">
        <v>185</v>
      </c>
      <c r="G46" s="14" t="s">
        <v>186</v>
      </c>
    </row>
    <row r="47" ht="31.5" customHeight="1">
      <c r="A47" s="15">
        <v>44.0</v>
      </c>
      <c r="B47" s="13" t="s">
        <v>258</v>
      </c>
      <c r="C47" s="11" t="s">
        <v>181</v>
      </c>
      <c r="D47" s="11" t="s">
        <v>183</v>
      </c>
      <c r="E47" s="16" t="s">
        <v>261</v>
      </c>
      <c r="F47" s="18" t="s">
        <v>185</v>
      </c>
      <c r="G47" s="18" t="s">
        <v>186</v>
      </c>
    </row>
    <row r="48" ht="31.5" customHeight="1">
      <c r="A48" s="8">
        <v>45.0</v>
      </c>
      <c r="B48" s="10" t="s">
        <v>262</v>
      </c>
      <c r="C48" s="9" t="s">
        <v>263</v>
      </c>
      <c r="D48" s="9" t="s">
        <v>130</v>
      </c>
      <c r="E48" s="12" t="s">
        <v>265</v>
      </c>
      <c r="F48" s="14" t="s">
        <v>266</v>
      </c>
      <c r="G48" s="14" t="s">
        <v>268</v>
      </c>
    </row>
    <row r="49" ht="31.5" customHeight="1">
      <c r="A49" s="15">
        <v>46.0</v>
      </c>
      <c r="B49" s="13" t="s">
        <v>271</v>
      </c>
      <c r="C49" s="11" t="s">
        <v>263</v>
      </c>
      <c r="D49" s="11" t="s">
        <v>130</v>
      </c>
      <c r="E49" s="16" t="s">
        <v>275</v>
      </c>
      <c r="F49" s="18" t="s">
        <v>266</v>
      </c>
      <c r="G49" s="18" t="s">
        <v>268</v>
      </c>
    </row>
    <row r="50" ht="31.5" customHeight="1">
      <c r="A50" s="8">
        <v>47.0</v>
      </c>
      <c r="B50" s="10" t="s">
        <v>277</v>
      </c>
      <c r="C50" s="9" t="s">
        <v>263</v>
      </c>
      <c r="D50" s="9" t="s">
        <v>130</v>
      </c>
      <c r="E50" s="12" t="s">
        <v>278</v>
      </c>
      <c r="F50" s="14" t="s">
        <v>266</v>
      </c>
      <c r="G50" s="14" t="s">
        <v>268</v>
      </c>
    </row>
    <row r="51" ht="31.5" customHeight="1">
      <c r="A51" s="15">
        <v>48.0</v>
      </c>
      <c r="B51" s="13" t="s">
        <v>280</v>
      </c>
      <c r="C51" s="11" t="s">
        <v>263</v>
      </c>
      <c r="D51" s="11" t="s">
        <v>130</v>
      </c>
      <c r="E51" s="16" t="s">
        <v>278</v>
      </c>
      <c r="F51" s="18" t="s">
        <v>266</v>
      </c>
      <c r="G51" s="18" t="s">
        <v>268</v>
      </c>
    </row>
    <row r="52" ht="31.5" customHeight="1">
      <c r="A52" s="8">
        <v>49.0</v>
      </c>
      <c r="B52" s="10" t="s">
        <v>285</v>
      </c>
      <c r="C52" s="9" t="s">
        <v>286</v>
      </c>
      <c r="D52" s="9" t="s">
        <v>130</v>
      </c>
      <c r="E52" s="12" t="s">
        <v>281</v>
      </c>
      <c r="F52" s="14" t="s">
        <v>289</v>
      </c>
      <c r="G52" s="14" t="s">
        <v>290</v>
      </c>
    </row>
    <row r="53" ht="31.5" customHeight="1">
      <c r="A53" s="15">
        <v>50.0</v>
      </c>
      <c r="B53" s="13" t="s">
        <v>292</v>
      </c>
      <c r="C53" s="11" t="s">
        <v>286</v>
      </c>
      <c r="D53" s="11" t="s">
        <v>130</v>
      </c>
      <c r="E53" s="16" t="s">
        <v>281</v>
      </c>
      <c r="F53" s="18" t="s">
        <v>289</v>
      </c>
      <c r="G53" s="18" t="s">
        <v>290</v>
      </c>
    </row>
    <row r="54" ht="31.5" customHeight="1">
      <c r="A54" s="8">
        <v>51.0</v>
      </c>
      <c r="B54" s="10" t="s">
        <v>294</v>
      </c>
      <c r="C54" s="9" t="s">
        <v>286</v>
      </c>
      <c r="D54" s="9" t="s">
        <v>130</v>
      </c>
      <c r="E54" s="12" t="s">
        <v>281</v>
      </c>
      <c r="F54" s="14" t="s">
        <v>289</v>
      </c>
      <c r="G54" s="14" t="s">
        <v>290</v>
      </c>
    </row>
    <row r="55" ht="31.5" customHeight="1">
      <c r="A55" s="15">
        <v>52.0</v>
      </c>
      <c r="B55" s="13" t="s">
        <v>300</v>
      </c>
      <c r="C55" s="11" t="s">
        <v>286</v>
      </c>
      <c r="D55" s="11" t="s">
        <v>130</v>
      </c>
      <c r="E55" s="16" t="s">
        <v>302</v>
      </c>
      <c r="F55" s="18" t="s">
        <v>289</v>
      </c>
      <c r="G55" s="18" t="s">
        <v>290</v>
      </c>
    </row>
    <row r="56" ht="31.5" customHeight="1">
      <c r="A56" s="8">
        <v>53.0</v>
      </c>
      <c r="B56" s="10" t="s">
        <v>304</v>
      </c>
      <c r="C56" s="9" t="s">
        <v>286</v>
      </c>
      <c r="D56" s="9" t="s">
        <v>130</v>
      </c>
      <c r="E56" s="12" t="s">
        <v>302</v>
      </c>
      <c r="F56" s="14" t="s">
        <v>289</v>
      </c>
      <c r="G56" s="14" t="s">
        <v>290</v>
      </c>
    </row>
    <row r="57" ht="31.5" customHeight="1">
      <c r="A57" s="15">
        <v>54.0</v>
      </c>
      <c r="B57" s="13" t="s">
        <v>310</v>
      </c>
      <c r="C57" s="11" t="s">
        <v>286</v>
      </c>
      <c r="D57" s="11" t="s">
        <v>130</v>
      </c>
      <c r="E57" s="16" t="s">
        <v>302</v>
      </c>
      <c r="F57" s="18" t="s">
        <v>289</v>
      </c>
      <c r="G57" s="18" t="s">
        <v>290</v>
      </c>
    </row>
    <row r="58" ht="31.5" customHeight="1">
      <c r="A58" s="8">
        <v>55.0</v>
      </c>
      <c r="B58" s="10" t="s">
        <v>314</v>
      </c>
      <c r="C58" s="9" t="s">
        <v>286</v>
      </c>
      <c r="D58" s="9" t="s">
        <v>130</v>
      </c>
      <c r="E58" s="12" t="s">
        <v>306</v>
      </c>
      <c r="F58" s="14" t="s">
        <v>289</v>
      </c>
      <c r="G58" s="14" t="s">
        <v>290</v>
      </c>
    </row>
    <row r="59" ht="15.75" customHeight="1"/>
    <row r="60" ht="15.75" customHeight="1">
      <c r="A60" s="34"/>
      <c r="B60" s="35" t="s">
        <v>323</v>
      </c>
      <c r="C60" s="34"/>
      <c r="D60" s="34"/>
      <c r="E60" s="34"/>
      <c r="F60" s="34"/>
      <c r="G60" s="34"/>
    </row>
    <row r="61" ht="30.0" customHeight="1">
      <c r="A61" s="15"/>
      <c r="B61" s="11" t="s">
        <v>326</v>
      </c>
      <c r="C61" s="11" t="s">
        <v>327</v>
      </c>
      <c r="D61" s="11" t="s">
        <v>36</v>
      </c>
      <c r="E61" s="16" t="s">
        <v>330</v>
      </c>
      <c r="F61" s="18" t="s">
        <v>331</v>
      </c>
      <c r="G61" s="18" t="s">
        <v>332</v>
      </c>
    </row>
    <row r="62" ht="30.0" customHeight="1">
      <c r="A62" s="8"/>
      <c r="B62" s="9" t="s">
        <v>334</v>
      </c>
      <c r="C62" s="9" t="s">
        <v>327</v>
      </c>
      <c r="D62" s="9" t="s">
        <v>36</v>
      </c>
      <c r="E62" s="12" t="s">
        <v>330</v>
      </c>
      <c r="F62" s="14" t="s">
        <v>331</v>
      </c>
      <c r="G62" s="14" t="s">
        <v>332</v>
      </c>
    </row>
    <row r="63" ht="30.0" customHeight="1">
      <c r="A63" s="15"/>
      <c r="B63" s="11" t="s">
        <v>337</v>
      </c>
      <c r="C63" s="11" t="s">
        <v>327</v>
      </c>
      <c r="D63" s="11" t="s">
        <v>36</v>
      </c>
      <c r="E63" s="16" t="s">
        <v>339</v>
      </c>
      <c r="F63" s="18" t="s">
        <v>331</v>
      </c>
      <c r="G63" s="18" t="s">
        <v>332</v>
      </c>
    </row>
    <row r="64" ht="30.0" customHeight="1">
      <c r="A64" s="8"/>
      <c r="B64" s="9" t="s">
        <v>341</v>
      </c>
      <c r="C64" s="9" t="s">
        <v>327</v>
      </c>
      <c r="D64" s="9" t="s">
        <v>36</v>
      </c>
      <c r="E64" s="12" t="s">
        <v>343</v>
      </c>
      <c r="F64" s="14" t="s">
        <v>331</v>
      </c>
      <c r="G64" s="14" t="s">
        <v>345</v>
      </c>
    </row>
    <row r="65" ht="30.0" customHeight="1">
      <c r="A65" s="15"/>
      <c r="B65" s="11" t="s">
        <v>348</v>
      </c>
      <c r="C65" s="11" t="s">
        <v>327</v>
      </c>
      <c r="D65" s="11" t="s">
        <v>36</v>
      </c>
      <c r="E65" s="16" t="s">
        <v>343</v>
      </c>
      <c r="F65" s="18" t="s">
        <v>331</v>
      </c>
      <c r="G65" s="18" t="s">
        <v>345</v>
      </c>
    </row>
    <row r="66" ht="30.0" customHeight="1">
      <c r="A66" s="8"/>
      <c r="B66" s="9" t="s">
        <v>351</v>
      </c>
      <c r="C66" s="9" t="s">
        <v>327</v>
      </c>
      <c r="D66" s="9" t="s">
        <v>36</v>
      </c>
      <c r="E66" s="12" t="s">
        <v>355</v>
      </c>
      <c r="F66" s="14" t="s">
        <v>331</v>
      </c>
      <c r="G66" s="14" t="s">
        <v>345</v>
      </c>
    </row>
    <row r="67" ht="30.0" customHeight="1">
      <c r="A67" s="15"/>
      <c r="B67" s="11" t="s">
        <v>359</v>
      </c>
      <c r="C67" s="11" t="s">
        <v>327</v>
      </c>
      <c r="D67" s="11" t="s">
        <v>36</v>
      </c>
      <c r="E67" s="16" t="s">
        <v>361</v>
      </c>
      <c r="F67" s="18" t="s">
        <v>331</v>
      </c>
      <c r="G67" s="18" t="s">
        <v>362</v>
      </c>
    </row>
    <row r="68" ht="30.0" customHeight="1">
      <c r="A68" s="8"/>
      <c r="B68" s="9" t="s">
        <v>364</v>
      </c>
      <c r="C68" s="9" t="s">
        <v>327</v>
      </c>
      <c r="D68" s="9" t="s">
        <v>36</v>
      </c>
      <c r="E68" s="12" t="s">
        <v>361</v>
      </c>
      <c r="F68" s="14" t="s">
        <v>331</v>
      </c>
      <c r="G68" s="14" t="s">
        <v>362</v>
      </c>
    </row>
    <row r="69" ht="30.0" customHeight="1">
      <c r="A69" s="15"/>
      <c r="B69" s="11" t="s">
        <v>369</v>
      </c>
      <c r="C69" s="11" t="s">
        <v>327</v>
      </c>
      <c r="D69" s="11" t="s">
        <v>36</v>
      </c>
      <c r="E69" s="16" t="s">
        <v>370</v>
      </c>
      <c r="F69" s="18" t="s">
        <v>331</v>
      </c>
      <c r="G69" s="18" t="s">
        <v>362</v>
      </c>
    </row>
    <row r="70" ht="30.0" customHeight="1">
      <c r="A70" s="8"/>
      <c r="B70" s="9" t="s">
        <v>376</v>
      </c>
      <c r="C70" s="9" t="s">
        <v>327</v>
      </c>
      <c r="D70" s="9" t="s">
        <v>36</v>
      </c>
      <c r="E70" s="12" t="s">
        <v>379</v>
      </c>
      <c r="F70" s="14" t="s">
        <v>331</v>
      </c>
      <c r="G70" s="14" t="s">
        <v>381</v>
      </c>
    </row>
    <row r="71" ht="30.0" customHeight="1">
      <c r="A71" s="15"/>
      <c r="B71" s="11" t="s">
        <v>383</v>
      </c>
      <c r="C71" s="11" t="s">
        <v>327</v>
      </c>
      <c r="D71" s="11" t="s">
        <v>36</v>
      </c>
      <c r="E71" s="16" t="s">
        <v>379</v>
      </c>
      <c r="F71" s="18" t="s">
        <v>331</v>
      </c>
      <c r="G71" s="18" t="s">
        <v>381</v>
      </c>
    </row>
    <row r="72" ht="30.0" customHeight="1">
      <c r="A72" s="8"/>
      <c r="B72" s="9" t="s">
        <v>387</v>
      </c>
      <c r="C72" s="9" t="s">
        <v>327</v>
      </c>
      <c r="D72" s="9" t="s">
        <v>36</v>
      </c>
      <c r="E72" s="12" t="s">
        <v>390</v>
      </c>
      <c r="F72" s="14" t="s">
        <v>331</v>
      </c>
      <c r="G72" s="14" t="s">
        <v>381</v>
      </c>
    </row>
    <row r="73" ht="30.0" customHeight="1">
      <c r="A73" s="15"/>
      <c r="B73" s="11" t="s">
        <v>392</v>
      </c>
      <c r="C73" s="11" t="s">
        <v>327</v>
      </c>
      <c r="D73" s="11" t="s">
        <v>36</v>
      </c>
      <c r="E73" s="16" t="s">
        <v>393</v>
      </c>
      <c r="F73" s="18" t="s">
        <v>331</v>
      </c>
      <c r="G73" s="18" t="s">
        <v>395</v>
      </c>
    </row>
    <row r="74" ht="30.0" customHeight="1">
      <c r="A74" s="8"/>
      <c r="B74" s="9" t="s">
        <v>399</v>
      </c>
      <c r="C74" s="9" t="s">
        <v>327</v>
      </c>
      <c r="D74" s="9" t="s">
        <v>36</v>
      </c>
      <c r="E74" s="12" t="s">
        <v>393</v>
      </c>
      <c r="F74" s="14" t="s">
        <v>331</v>
      </c>
      <c r="G74" s="14" t="s">
        <v>395</v>
      </c>
    </row>
    <row r="75" ht="30.0" customHeight="1">
      <c r="A75" s="15"/>
      <c r="B75" s="11" t="s">
        <v>403</v>
      </c>
      <c r="C75" s="11" t="s">
        <v>327</v>
      </c>
      <c r="D75" s="11" t="s">
        <v>36</v>
      </c>
      <c r="E75" s="16" t="s">
        <v>405</v>
      </c>
      <c r="F75" s="18" t="s">
        <v>331</v>
      </c>
      <c r="G75" s="18" t="s">
        <v>395</v>
      </c>
    </row>
    <row r="76" ht="30.0" customHeight="1">
      <c r="A76" s="8"/>
      <c r="B76" s="9" t="s">
        <v>406</v>
      </c>
      <c r="C76" s="9" t="s">
        <v>327</v>
      </c>
      <c r="D76" s="9" t="s">
        <v>36</v>
      </c>
      <c r="E76" s="12" t="s">
        <v>409</v>
      </c>
      <c r="F76" s="14" t="s">
        <v>331</v>
      </c>
      <c r="G76" s="14" t="s">
        <v>411</v>
      </c>
    </row>
    <row r="77" ht="30.0" customHeight="1">
      <c r="A77" s="15"/>
      <c r="B77" s="11" t="s">
        <v>413</v>
      </c>
      <c r="C77" s="11" t="s">
        <v>327</v>
      </c>
      <c r="D77" s="11" t="s">
        <v>36</v>
      </c>
      <c r="E77" s="16" t="s">
        <v>409</v>
      </c>
      <c r="F77" s="18" t="s">
        <v>331</v>
      </c>
      <c r="G77" s="18" t="s">
        <v>411</v>
      </c>
    </row>
    <row r="78" ht="30.0" customHeight="1">
      <c r="A78" s="8"/>
      <c r="B78" s="9" t="s">
        <v>417</v>
      </c>
      <c r="C78" s="9" t="s">
        <v>327</v>
      </c>
      <c r="D78" s="9" t="s">
        <v>36</v>
      </c>
      <c r="E78" s="12" t="s">
        <v>419</v>
      </c>
      <c r="F78" s="14" t="s">
        <v>331</v>
      </c>
      <c r="G78" s="14" t="s">
        <v>411</v>
      </c>
    </row>
    <row r="79" ht="30.0" customHeight="1">
      <c r="A79" s="15"/>
      <c r="B79" s="11" t="s">
        <v>422</v>
      </c>
      <c r="C79" s="11" t="s">
        <v>327</v>
      </c>
      <c r="D79" s="11" t="s">
        <v>36</v>
      </c>
      <c r="E79" s="16" t="s">
        <v>427</v>
      </c>
      <c r="F79" s="18" t="s">
        <v>331</v>
      </c>
      <c r="G79" s="18" t="s">
        <v>430</v>
      </c>
    </row>
    <row r="80" ht="30.0" customHeight="1">
      <c r="A80" s="8"/>
      <c r="B80" s="9" t="s">
        <v>433</v>
      </c>
      <c r="C80" s="9" t="s">
        <v>327</v>
      </c>
      <c r="D80" s="9" t="s">
        <v>36</v>
      </c>
      <c r="E80" s="12" t="s">
        <v>427</v>
      </c>
      <c r="F80" s="14" t="s">
        <v>331</v>
      </c>
      <c r="G80" s="14" t="s">
        <v>430</v>
      </c>
    </row>
    <row r="81" ht="30.0" customHeight="1">
      <c r="A81" s="15"/>
      <c r="B81" s="11" t="s">
        <v>438</v>
      </c>
      <c r="C81" s="11" t="s">
        <v>327</v>
      </c>
      <c r="D81" s="11" t="s">
        <v>36</v>
      </c>
      <c r="E81" s="16" t="s">
        <v>439</v>
      </c>
      <c r="F81" s="18" t="s">
        <v>331</v>
      </c>
      <c r="G81" s="18" t="s">
        <v>430</v>
      </c>
    </row>
    <row r="82" ht="30.0" customHeight="1">
      <c r="A82" s="8"/>
      <c r="B82" s="9" t="s">
        <v>441</v>
      </c>
      <c r="C82" s="9" t="s">
        <v>327</v>
      </c>
      <c r="D82" s="9" t="s">
        <v>36</v>
      </c>
      <c r="E82" s="12" t="s">
        <v>443</v>
      </c>
      <c r="F82" s="14" t="s">
        <v>331</v>
      </c>
      <c r="G82" s="14" t="s">
        <v>444</v>
      </c>
    </row>
    <row r="83" ht="30.0" customHeight="1">
      <c r="A83" s="15"/>
      <c r="B83" s="11" t="s">
        <v>449</v>
      </c>
      <c r="C83" s="11" t="s">
        <v>327</v>
      </c>
      <c r="D83" s="11" t="s">
        <v>36</v>
      </c>
      <c r="E83" s="16" t="s">
        <v>443</v>
      </c>
      <c r="F83" s="18" t="s">
        <v>331</v>
      </c>
      <c r="G83" s="18" t="s">
        <v>444</v>
      </c>
    </row>
    <row r="84" ht="30.0" customHeight="1">
      <c r="A84" s="8"/>
      <c r="B84" s="9" t="s">
        <v>453</v>
      </c>
      <c r="C84" s="9" t="s">
        <v>327</v>
      </c>
      <c r="D84" s="9" t="s">
        <v>36</v>
      </c>
      <c r="E84" s="12" t="s">
        <v>455</v>
      </c>
      <c r="F84" s="14" t="s">
        <v>331</v>
      </c>
      <c r="G84" s="14" t="s">
        <v>444</v>
      </c>
    </row>
    <row r="85" ht="30.0" customHeight="1">
      <c r="A85" s="15"/>
      <c r="B85" s="11" t="s">
        <v>460</v>
      </c>
      <c r="C85" s="11" t="s">
        <v>327</v>
      </c>
      <c r="D85" s="11" t="s">
        <v>36</v>
      </c>
      <c r="E85" s="16" t="s">
        <v>461</v>
      </c>
      <c r="F85" s="18" t="s">
        <v>331</v>
      </c>
      <c r="G85" s="18" t="s">
        <v>464</v>
      </c>
    </row>
    <row r="86" ht="30.0" customHeight="1">
      <c r="A86" s="8"/>
      <c r="B86" s="9" t="s">
        <v>465</v>
      </c>
      <c r="C86" s="9" t="s">
        <v>327</v>
      </c>
      <c r="D86" s="9" t="s">
        <v>36</v>
      </c>
      <c r="E86" s="12" t="s">
        <v>461</v>
      </c>
      <c r="F86" s="14" t="s">
        <v>331</v>
      </c>
      <c r="G86" s="14" t="s">
        <v>464</v>
      </c>
    </row>
    <row r="87" ht="30.0" customHeight="1">
      <c r="A87" s="15"/>
      <c r="B87" s="11" t="s">
        <v>469</v>
      </c>
      <c r="C87" s="11" t="s">
        <v>327</v>
      </c>
      <c r="D87" s="11" t="s">
        <v>36</v>
      </c>
      <c r="E87" s="16" t="s">
        <v>471</v>
      </c>
      <c r="F87" s="18" t="s">
        <v>331</v>
      </c>
      <c r="G87" s="18" t="s">
        <v>464</v>
      </c>
    </row>
    <row r="88" ht="30.0" customHeight="1">
      <c r="A88" s="8"/>
      <c r="B88" s="9" t="s">
        <v>475</v>
      </c>
      <c r="C88" s="9" t="s">
        <v>327</v>
      </c>
      <c r="D88" s="9" t="s">
        <v>36</v>
      </c>
      <c r="E88" s="12" t="s">
        <v>478</v>
      </c>
      <c r="F88" s="14" t="s">
        <v>331</v>
      </c>
      <c r="G88" s="14" t="s">
        <v>480</v>
      </c>
    </row>
    <row r="89" ht="30.0" customHeight="1">
      <c r="A89" s="15"/>
      <c r="B89" s="11" t="s">
        <v>484</v>
      </c>
      <c r="C89" s="11" t="s">
        <v>327</v>
      </c>
      <c r="D89" s="11" t="s">
        <v>36</v>
      </c>
      <c r="E89" s="16" t="s">
        <v>478</v>
      </c>
      <c r="F89" s="18" t="s">
        <v>331</v>
      </c>
      <c r="G89" s="18" t="s">
        <v>480</v>
      </c>
    </row>
    <row r="90" ht="30.0" customHeight="1">
      <c r="A90" s="8"/>
      <c r="B90" s="9" t="s">
        <v>489</v>
      </c>
      <c r="C90" s="9" t="s">
        <v>327</v>
      </c>
      <c r="D90" s="9" t="s">
        <v>36</v>
      </c>
      <c r="E90" s="12" t="s">
        <v>491</v>
      </c>
      <c r="F90" s="14" t="s">
        <v>331</v>
      </c>
      <c r="G90" s="14" t="s">
        <v>480</v>
      </c>
    </row>
    <row r="91" ht="30.0" customHeight="1">
      <c r="A91" s="15"/>
      <c r="B91" s="11" t="s">
        <v>496</v>
      </c>
      <c r="C91" s="11" t="s">
        <v>327</v>
      </c>
      <c r="D91" s="11" t="s">
        <v>36</v>
      </c>
      <c r="E91" s="16" t="s">
        <v>498</v>
      </c>
      <c r="F91" s="18" t="s">
        <v>331</v>
      </c>
      <c r="G91" s="18" t="s">
        <v>499</v>
      </c>
    </row>
    <row r="92" ht="30.0" customHeight="1">
      <c r="A92" s="8"/>
      <c r="B92" s="9" t="s">
        <v>502</v>
      </c>
      <c r="C92" s="9" t="s">
        <v>327</v>
      </c>
      <c r="D92" s="9" t="s">
        <v>36</v>
      </c>
      <c r="E92" s="12" t="s">
        <v>498</v>
      </c>
      <c r="F92" s="14" t="s">
        <v>331</v>
      </c>
      <c r="G92" s="14" t="s">
        <v>499</v>
      </c>
    </row>
    <row r="93" ht="30.0" customHeight="1">
      <c r="A93" s="15"/>
      <c r="B93" s="11" t="s">
        <v>504</v>
      </c>
      <c r="C93" s="11" t="s">
        <v>327</v>
      </c>
      <c r="D93" s="11" t="s">
        <v>36</v>
      </c>
      <c r="E93" s="16" t="s">
        <v>508</v>
      </c>
      <c r="F93" s="18" t="s">
        <v>331</v>
      </c>
      <c r="G93" s="18" t="s">
        <v>499</v>
      </c>
    </row>
    <row r="94" ht="30.0" customHeight="1">
      <c r="A94" s="8"/>
      <c r="B94" s="9" t="s">
        <v>513</v>
      </c>
      <c r="C94" s="9" t="s">
        <v>327</v>
      </c>
      <c r="D94" s="9" t="s">
        <v>36</v>
      </c>
      <c r="E94" s="12" t="s">
        <v>517</v>
      </c>
      <c r="F94" s="14" t="s">
        <v>331</v>
      </c>
      <c r="G94" s="14" t="s">
        <v>520</v>
      </c>
    </row>
    <row r="95" ht="30.0" customHeight="1">
      <c r="A95" s="15"/>
      <c r="B95" s="11" t="s">
        <v>523</v>
      </c>
      <c r="C95" s="11" t="s">
        <v>327</v>
      </c>
      <c r="D95" s="11" t="s">
        <v>36</v>
      </c>
      <c r="E95" s="16" t="s">
        <v>517</v>
      </c>
      <c r="F95" s="18" t="s">
        <v>331</v>
      </c>
      <c r="G95" s="18" t="s">
        <v>520</v>
      </c>
    </row>
    <row r="96" ht="30.0" customHeight="1">
      <c r="A96" s="8"/>
      <c r="B96" s="9" t="s">
        <v>530</v>
      </c>
      <c r="C96" s="9" t="s">
        <v>327</v>
      </c>
      <c r="D96" s="9" t="s">
        <v>36</v>
      </c>
      <c r="E96" s="12" t="s">
        <v>534</v>
      </c>
      <c r="F96" s="14" t="s">
        <v>331</v>
      </c>
      <c r="G96" s="14" t="s">
        <v>520</v>
      </c>
    </row>
    <row r="97" ht="30.0" customHeight="1">
      <c r="A97" s="15"/>
      <c r="B97" s="11" t="s">
        <v>540</v>
      </c>
      <c r="C97" s="11" t="s">
        <v>327</v>
      </c>
      <c r="D97" s="11" t="s">
        <v>36</v>
      </c>
      <c r="E97" s="16" t="s">
        <v>545</v>
      </c>
      <c r="F97" s="18" t="s">
        <v>331</v>
      </c>
      <c r="G97" s="18" t="s">
        <v>548</v>
      </c>
    </row>
    <row r="98" ht="30.0" customHeight="1">
      <c r="A98" s="8"/>
      <c r="B98" s="9" t="s">
        <v>550</v>
      </c>
      <c r="C98" s="9" t="s">
        <v>327</v>
      </c>
      <c r="D98" s="9" t="s">
        <v>36</v>
      </c>
      <c r="E98" s="12" t="s">
        <v>545</v>
      </c>
      <c r="F98" s="14" t="s">
        <v>331</v>
      </c>
      <c r="G98" s="14" t="s">
        <v>548</v>
      </c>
    </row>
    <row r="99" ht="30.0" customHeight="1">
      <c r="A99" s="15"/>
      <c r="B99" s="11" t="s">
        <v>557</v>
      </c>
      <c r="C99" s="11" t="s">
        <v>327</v>
      </c>
      <c r="D99" s="11" t="s">
        <v>36</v>
      </c>
      <c r="E99" s="16" t="s">
        <v>561</v>
      </c>
      <c r="F99" s="18" t="s">
        <v>331</v>
      </c>
      <c r="G99" s="18" t="s">
        <v>548</v>
      </c>
    </row>
    <row r="100" ht="30.0" customHeight="1">
      <c r="A100" s="8"/>
      <c r="B100" s="9" t="s">
        <v>570</v>
      </c>
      <c r="C100" s="9" t="s">
        <v>327</v>
      </c>
      <c r="D100" s="9" t="s">
        <v>36</v>
      </c>
      <c r="E100" s="12" t="s">
        <v>571</v>
      </c>
      <c r="F100" s="14" t="s">
        <v>331</v>
      </c>
      <c r="G100" s="14" t="s">
        <v>572</v>
      </c>
    </row>
    <row r="101" ht="30.0" customHeight="1">
      <c r="A101" s="15"/>
      <c r="B101" s="11" t="s">
        <v>574</v>
      </c>
      <c r="C101" s="11" t="s">
        <v>327</v>
      </c>
      <c r="D101" s="11" t="s">
        <v>36</v>
      </c>
      <c r="E101" s="16" t="s">
        <v>571</v>
      </c>
      <c r="F101" s="18" t="s">
        <v>331</v>
      </c>
      <c r="G101" s="18" t="s">
        <v>572</v>
      </c>
    </row>
    <row r="102" ht="30.0" customHeight="1">
      <c r="A102" s="8"/>
      <c r="B102" s="9" t="s">
        <v>577</v>
      </c>
      <c r="C102" s="9" t="s">
        <v>327</v>
      </c>
      <c r="D102" s="9" t="s">
        <v>36</v>
      </c>
      <c r="E102" s="12" t="s">
        <v>579</v>
      </c>
      <c r="F102" s="14" t="s">
        <v>331</v>
      </c>
      <c r="G102" s="14" t="s">
        <v>572</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102"/>
  <mergeCells count="2">
    <mergeCell ref="A1:G1"/>
    <mergeCell ref="A2:G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62.0"/>
    <col customWidth="1" min="3" max="3" width="58.0"/>
    <col customWidth="1" min="4" max="4" width="42.0"/>
    <col customWidth="1" min="5" max="5" width="46.0"/>
    <col customWidth="1" min="6" max="26" width="8.71"/>
  </cols>
  <sheetData>
    <row r="1" ht="30.0" customHeight="1">
      <c r="A1" s="1" t="s">
        <v>463</v>
      </c>
      <c r="B1" s="2"/>
      <c r="C1" s="2"/>
      <c r="D1" s="2"/>
      <c r="E1" s="3"/>
    </row>
    <row r="2" ht="21.75" customHeight="1">
      <c r="A2" s="4" t="s">
        <v>472</v>
      </c>
    </row>
    <row r="3" ht="31.5" customHeight="1">
      <c r="A3" s="5" t="s">
        <v>24</v>
      </c>
      <c r="B3" s="5" t="s">
        <v>479</v>
      </c>
      <c r="C3" s="5" t="s">
        <v>482</v>
      </c>
      <c r="D3" s="5" t="s">
        <v>485</v>
      </c>
      <c r="E3" s="5" t="s">
        <v>487</v>
      </c>
    </row>
    <row r="4" ht="189.75" customHeight="1">
      <c r="A4" s="13" t="s">
        <v>177</v>
      </c>
      <c r="B4" s="18" t="s">
        <v>490</v>
      </c>
      <c r="C4" s="18" t="s">
        <v>493</v>
      </c>
      <c r="D4" s="18" t="s">
        <v>495</v>
      </c>
      <c r="E4" s="36" t="s">
        <v>497</v>
      </c>
    </row>
    <row r="5" ht="189.75" customHeight="1">
      <c r="A5" s="10" t="s">
        <v>297</v>
      </c>
      <c r="B5" s="14" t="s">
        <v>506</v>
      </c>
      <c r="C5" s="14" t="s">
        <v>510</v>
      </c>
      <c r="D5" s="14" t="s">
        <v>511</v>
      </c>
      <c r="E5" s="36" t="s">
        <v>512</v>
      </c>
    </row>
    <row r="6" ht="189.75" customHeight="1">
      <c r="A6" s="13" t="s">
        <v>365</v>
      </c>
      <c r="B6" s="18" t="s">
        <v>516</v>
      </c>
      <c r="C6" s="18" t="s">
        <v>518</v>
      </c>
      <c r="D6" s="18" t="s">
        <v>519</v>
      </c>
      <c r="E6" s="36" t="s">
        <v>521</v>
      </c>
    </row>
    <row r="7" ht="189.75" customHeight="1">
      <c r="A7" s="10" t="s">
        <v>260</v>
      </c>
      <c r="B7" s="14" t="s">
        <v>524</v>
      </c>
      <c r="C7" s="14" t="s">
        <v>525</v>
      </c>
      <c r="D7" s="14" t="s">
        <v>527</v>
      </c>
      <c r="E7" s="36" t="s">
        <v>529</v>
      </c>
    </row>
    <row r="8" ht="189.75" customHeight="1">
      <c r="A8" s="13" t="s">
        <v>531</v>
      </c>
      <c r="B8" s="18" t="s">
        <v>533</v>
      </c>
      <c r="C8" s="18" t="s">
        <v>535</v>
      </c>
      <c r="D8" s="18" t="s">
        <v>537</v>
      </c>
      <c r="E8" s="36" t="s">
        <v>539</v>
      </c>
    </row>
    <row r="9" ht="189.75" customHeight="1">
      <c r="A9" s="10" t="s">
        <v>541</v>
      </c>
      <c r="B9" s="14" t="s">
        <v>543</v>
      </c>
      <c r="C9" s="14" t="s">
        <v>546</v>
      </c>
      <c r="D9" s="14" t="s">
        <v>547</v>
      </c>
      <c r="E9" s="36" t="s">
        <v>549</v>
      </c>
    </row>
    <row r="10" ht="189.75" customHeight="1">
      <c r="A10" s="13" t="s">
        <v>237</v>
      </c>
      <c r="B10" s="18" t="s">
        <v>552</v>
      </c>
      <c r="C10" s="18" t="s">
        <v>553</v>
      </c>
      <c r="D10" s="18" t="s">
        <v>554</v>
      </c>
      <c r="E10" s="36" t="s">
        <v>555</v>
      </c>
    </row>
    <row r="11" ht="189.75" customHeight="1">
      <c r="A11" s="10" t="s">
        <v>558</v>
      </c>
      <c r="B11" s="14" t="s">
        <v>560</v>
      </c>
      <c r="C11" s="14" t="s">
        <v>562</v>
      </c>
      <c r="D11" s="14" t="s">
        <v>563</v>
      </c>
      <c r="E11" s="36" t="s">
        <v>565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6.0"/>
    <col customWidth="1" min="3" max="3" width="30.0"/>
    <col customWidth="1" min="4" max="4" width="16.0"/>
    <col customWidth="1" min="5" max="5" width="48.0"/>
    <col customWidth="1" min="6" max="6" width="58.0"/>
    <col customWidth="1" min="7" max="26" width="8.71"/>
  </cols>
  <sheetData>
    <row r="1" ht="30.0" customHeight="1">
      <c r="A1" s="1" t="s">
        <v>703</v>
      </c>
      <c r="B1" s="2"/>
      <c r="C1" s="2"/>
      <c r="D1" s="2"/>
      <c r="E1" s="2"/>
      <c r="F1" s="3"/>
    </row>
    <row r="2" ht="21.75" customHeight="1">
      <c r="A2" s="4" t="s">
        <v>709</v>
      </c>
    </row>
    <row r="3" ht="31.5" customHeight="1">
      <c r="A3" s="5" t="s">
        <v>712</v>
      </c>
      <c r="B3" s="5" t="s">
        <v>714</v>
      </c>
      <c r="C3" s="5" t="s">
        <v>715</v>
      </c>
      <c r="D3" s="5" t="s">
        <v>716</v>
      </c>
      <c r="E3" s="5" t="s">
        <v>717</v>
      </c>
      <c r="F3" s="5" t="s">
        <v>718</v>
      </c>
    </row>
    <row r="4" ht="42.0" customHeight="1">
      <c r="A4" s="15">
        <v>1.0</v>
      </c>
      <c r="B4" s="13" t="s">
        <v>86</v>
      </c>
      <c r="C4" s="11" t="s">
        <v>721</v>
      </c>
      <c r="D4" s="15" t="s">
        <v>723</v>
      </c>
      <c r="E4" s="18" t="s">
        <v>726</v>
      </c>
      <c r="F4" s="18" t="s">
        <v>727</v>
      </c>
    </row>
    <row r="5" ht="42.0" customHeight="1">
      <c r="A5" s="8">
        <v>2.0</v>
      </c>
      <c r="B5" s="10" t="s">
        <v>86</v>
      </c>
      <c r="C5" s="9" t="s">
        <v>731</v>
      </c>
      <c r="D5" s="8" t="s">
        <v>732</v>
      </c>
      <c r="E5" s="14" t="s">
        <v>734</v>
      </c>
      <c r="F5" s="14" t="s">
        <v>738</v>
      </c>
    </row>
    <row r="6" ht="42.0" customHeight="1">
      <c r="A6" s="15">
        <v>3.0</v>
      </c>
      <c r="B6" s="13" t="s">
        <v>86</v>
      </c>
      <c r="C6" s="11" t="s">
        <v>740</v>
      </c>
      <c r="D6" s="15" t="s">
        <v>741</v>
      </c>
      <c r="E6" s="18" t="s">
        <v>743</v>
      </c>
      <c r="F6" s="18" t="s">
        <v>745</v>
      </c>
    </row>
    <row r="7" ht="42.0" customHeight="1">
      <c r="A7" s="8">
        <v>4.0</v>
      </c>
      <c r="B7" s="10" t="s">
        <v>746</v>
      </c>
      <c r="C7" s="9" t="s">
        <v>747</v>
      </c>
      <c r="D7" s="8" t="s">
        <v>748</v>
      </c>
      <c r="E7" s="14" t="s">
        <v>751</v>
      </c>
      <c r="F7" s="14" t="s">
        <v>752</v>
      </c>
    </row>
    <row r="8" ht="42.0" customHeight="1">
      <c r="A8" s="15">
        <v>5.0</v>
      </c>
      <c r="B8" s="13" t="s">
        <v>746</v>
      </c>
      <c r="C8" s="11" t="s">
        <v>753</v>
      </c>
      <c r="D8" s="15" t="s">
        <v>754</v>
      </c>
      <c r="E8" s="18" t="s">
        <v>755</v>
      </c>
      <c r="F8" s="18" t="s">
        <v>758</v>
      </c>
    </row>
    <row r="9" ht="42.0" customHeight="1">
      <c r="A9" s="8">
        <v>6.0</v>
      </c>
      <c r="B9" s="10" t="s">
        <v>746</v>
      </c>
      <c r="C9" s="9" t="s">
        <v>761</v>
      </c>
      <c r="D9" s="8" t="s">
        <v>762</v>
      </c>
      <c r="E9" s="14" t="s">
        <v>763</v>
      </c>
      <c r="F9" s="14" t="s">
        <v>764</v>
      </c>
    </row>
    <row r="10" ht="42.0" customHeight="1">
      <c r="A10" s="15">
        <v>7.0</v>
      </c>
      <c r="B10" s="13" t="s">
        <v>765</v>
      </c>
      <c r="C10" s="11" t="s">
        <v>767</v>
      </c>
      <c r="D10" s="15" t="s">
        <v>762</v>
      </c>
      <c r="E10" s="18" t="s">
        <v>790</v>
      </c>
      <c r="F10" s="18" t="s">
        <v>792</v>
      </c>
    </row>
    <row r="11" ht="42.0" customHeight="1">
      <c r="A11" s="8">
        <v>8.0</v>
      </c>
      <c r="B11" s="10" t="s">
        <v>765</v>
      </c>
      <c r="C11" s="9" t="s">
        <v>796</v>
      </c>
      <c r="D11" s="8" t="s">
        <v>797</v>
      </c>
      <c r="E11" s="14" t="s">
        <v>798</v>
      </c>
      <c r="F11" s="14" t="s">
        <v>800</v>
      </c>
    </row>
    <row r="12" ht="42.0" customHeight="1">
      <c r="A12" s="15">
        <v>9.0</v>
      </c>
      <c r="B12" s="13" t="s">
        <v>803</v>
      </c>
      <c r="C12" s="11" t="s">
        <v>767</v>
      </c>
      <c r="D12" s="15" t="s">
        <v>754</v>
      </c>
      <c r="E12" s="18" t="s">
        <v>790</v>
      </c>
      <c r="F12" s="18" t="s">
        <v>805</v>
      </c>
    </row>
    <row r="13" ht="42.0" customHeight="1">
      <c r="A13" s="8">
        <v>10.0</v>
      </c>
      <c r="B13" s="10" t="s">
        <v>806</v>
      </c>
      <c r="C13" s="9" t="s">
        <v>808</v>
      </c>
      <c r="D13" s="8" t="s">
        <v>797</v>
      </c>
      <c r="E13" s="14" t="s">
        <v>811</v>
      </c>
      <c r="F13" s="14" t="s">
        <v>813</v>
      </c>
    </row>
    <row r="14" ht="42.0" customHeight="1">
      <c r="A14" s="15">
        <v>11.0</v>
      </c>
      <c r="B14" s="13" t="s">
        <v>806</v>
      </c>
      <c r="C14" s="11" t="s">
        <v>39</v>
      </c>
      <c r="D14" s="15" t="s">
        <v>819</v>
      </c>
      <c r="E14" s="18" t="s">
        <v>820</v>
      </c>
      <c r="F14" s="18" t="s">
        <v>821</v>
      </c>
    </row>
    <row r="15" ht="42.0" customHeight="1">
      <c r="A15" s="8">
        <v>12.0</v>
      </c>
      <c r="B15" s="10" t="s">
        <v>822</v>
      </c>
      <c r="C15" s="9" t="s">
        <v>825</v>
      </c>
      <c r="D15" s="8" t="s">
        <v>748</v>
      </c>
      <c r="E15" s="14" t="s">
        <v>826</v>
      </c>
      <c r="F15" s="14" t="s">
        <v>827</v>
      </c>
    </row>
    <row r="16" ht="42.0" customHeight="1">
      <c r="A16" s="15">
        <v>13.0</v>
      </c>
      <c r="B16" s="13" t="s">
        <v>831</v>
      </c>
      <c r="C16" s="11" t="s">
        <v>767</v>
      </c>
      <c r="D16" s="15" t="s">
        <v>797</v>
      </c>
      <c r="E16" s="18" t="s">
        <v>833</v>
      </c>
      <c r="F16" s="18" t="s">
        <v>835</v>
      </c>
    </row>
    <row r="17" ht="42.0" customHeight="1">
      <c r="A17" s="8">
        <v>14.0</v>
      </c>
      <c r="B17" s="10" t="s">
        <v>836</v>
      </c>
      <c r="C17" s="9" t="s">
        <v>838</v>
      </c>
      <c r="D17" s="8" t="s">
        <v>840</v>
      </c>
      <c r="E17" s="14" t="s">
        <v>842</v>
      </c>
      <c r="F17" s="14" t="s">
        <v>844</v>
      </c>
    </row>
    <row r="18" ht="42.0" customHeight="1">
      <c r="A18" s="39">
        <v>15.0</v>
      </c>
      <c r="B18" s="40" t="s">
        <v>854</v>
      </c>
      <c r="C18" s="27" t="s">
        <v>864</v>
      </c>
      <c r="D18" s="39" t="s">
        <v>865</v>
      </c>
      <c r="E18" s="36" t="s">
        <v>867</v>
      </c>
      <c r="F18" s="36" t="s">
        <v>870</v>
      </c>
    </row>
    <row r="21" ht="15.75" customHeight="1">
      <c r="A21" s="7" t="s">
        <v>873</v>
      </c>
    </row>
    <row r="22" ht="25.5" customHeight="1">
      <c r="A22" s="20" t="s">
        <v>874</v>
      </c>
      <c r="B22" s="21"/>
      <c r="C22" s="21"/>
      <c r="D22" s="21"/>
      <c r="E22" s="21"/>
      <c r="F22" s="22"/>
    </row>
    <row r="23" ht="25.5" customHeight="1">
      <c r="A23" s="20" t="s">
        <v>881</v>
      </c>
      <c r="B23" s="21"/>
      <c r="C23" s="21"/>
      <c r="D23" s="21"/>
      <c r="E23" s="21"/>
      <c r="F23" s="22"/>
    </row>
    <row r="24" ht="25.5" customHeight="1">
      <c r="A24" s="20" t="s">
        <v>889</v>
      </c>
      <c r="B24" s="21"/>
      <c r="C24" s="21"/>
      <c r="D24" s="21"/>
      <c r="E24" s="21"/>
      <c r="F24" s="22"/>
    </row>
    <row r="25" ht="25.5" customHeight="1">
      <c r="A25" s="20" t="s">
        <v>900</v>
      </c>
      <c r="B25" s="21"/>
      <c r="C25" s="21"/>
      <c r="D25" s="21"/>
      <c r="E25" s="21"/>
      <c r="F25" s="22"/>
    </row>
    <row r="26" ht="25.5" customHeight="1">
      <c r="A26" s="20" t="s">
        <v>904</v>
      </c>
      <c r="B26" s="21"/>
      <c r="C26" s="21"/>
      <c r="D26" s="21"/>
      <c r="E26" s="21"/>
      <c r="F26" s="2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2:F2"/>
    <mergeCell ref="A22:F22"/>
    <mergeCell ref="A23:F23"/>
    <mergeCell ref="A24:F24"/>
    <mergeCell ref="A25:F25"/>
    <mergeCell ref="A26:F26"/>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30.0"/>
    <col customWidth="1" min="3" max="3" width="108.0"/>
    <col customWidth="1" min="4" max="4" width="30.0"/>
    <col customWidth="1" min="5" max="26" width="8.71"/>
  </cols>
  <sheetData>
    <row r="1" ht="30.0" customHeight="1">
      <c r="A1" s="1" t="s">
        <v>713</v>
      </c>
      <c r="B1" s="2"/>
      <c r="C1" s="2"/>
      <c r="D1" s="3"/>
    </row>
    <row r="2" ht="21.75" customHeight="1">
      <c r="A2" s="4" t="s">
        <v>728</v>
      </c>
    </row>
    <row r="3" ht="31.5" customHeight="1">
      <c r="A3" s="5" t="s">
        <v>730</v>
      </c>
      <c r="B3" s="5" t="s">
        <v>733</v>
      </c>
      <c r="C3" s="5" t="s">
        <v>736</v>
      </c>
      <c r="D3" s="5" t="s">
        <v>739</v>
      </c>
    </row>
    <row r="4" ht="300.0" customHeight="1">
      <c r="A4" s="13" t="s">
        <v>744</v>
      </c>
      <c r="B4" s="18" t="s">
        <v>749</v>
      </c>
      <c r="C4" s="38" t="s">
        <v>757</v>
      </c>
      <c r="D4" s="18" t="s">
        <v>766</v>
      </c>
    </row>
    <row r="5" ht="300.0" customHeight="1">
      <c r="A5" s="10" t="s">
        <v>812</v>
      </c>
      <c r="B5" s="14" t="s">
        <v>824</v>
      </c>
      <c r="C5" s="38" t="s">
        <v>829</v>
      </c>
      <c r="D5" s="14" t="s">
        <v>766</v>
      </c>
    </row>
    <row r="6" ht="300.0" customHeight="1">
      <c r="A6" s="13" t="s">
        <v>837</v>
      </c>
      <c r="B6" s="18" t="s">
        <v>841</v>
      </c>
      <c r="C6" s="38" t="s">
        <v>845</v>
      </c>
      <c r="D6" s="18" t="s">
        <v>766</v>
      </c>
    </row>
    <row r="7" ht="300.0" customHeight="1">
      <c r="A7" s="10" t="s">
        <v>850</v>
      </c>
      <c r="B7" s="14" t="s">
        <v>851</v>
      </c>
      <c r="C7" s="38" t="s">
        <v>852</v>
      </c>
      <c r="D7" s="14" t="s">
        <v>766</v>
      </c>
    </row>
    <row r="8" ht="300.0" customHeight="1">
      <c r="A8" s="13" t="s">
        <v>853</v>
      </c>
      <c r="B8" s="18" t="s">
        <v>856</v>
      </c>
      <c r="C8" s="38" t="s">
        <v>857</v>
      </c>
      <c r="D8" s="18" t="s">
        <v>766</v>
      </c>
    </row>
    <row r="9" ht="300.0" customHeight="1">
      <c r="A9" s="10" t="s">
        <v>860</v>
      </c>
      <c r="B9" s="14" t="s">
        <v>861</v>
      </c>
      <c r="C9" s="38" t="s">
        <v>863</v>
      </c>
      <c r="D9" s="14" t="s">
        <v>766</v>
      </c>
    </row>
    <row r="11">
      <c r="A11" s="7" t="s">
        <v>869</v>
      </c>
    </row>
    <row r="12" ht="25.5" customHeight="1">
      <c r="A12" s="20" t="s">
        <v>872</v>
      </c>
      <c r="B12" s="21"/>
      <c r="C12" s="21"/>
      <c r="D12" s="22"/>
    </row>
    <row r="13" ht="25.5" customHeight="1">
      <c r="A13" s="43" t="s">
        <v>879</v>
      </c>
      <c r="B13" s="21"/>
      <c r="C13" s="21"/>
      <c r="D13" s="22"/>
    </row>
    <row r="14" ht="25.5" customHeight="1">
      <c r="A14" s="20" t="s">
        <v>885</v>
      </c>
      <c r="B14" s="21"/>
      <c r="C14" s="21"/>
      <c r="D14" s="22"/>
    </row>
    <row r="15" ht="25.5" customHeight="1">
      <c r="A15" s="20" t="s">
        <v>893</v>
      </c>
      <c r="B15" s="21"/>
      <c r="C15" s="21"/>
      <c r="D15" s="22"/>
    </row>
    <row r="16" ht="25.5" customHeight="1">
      <c r="A16" s="20" t="s">
        <v>902</v>
      </c>
      <c r="B16" s="21"/>
      <c r="C16" s="21"/>
      <c r="D16"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12:D12"/>
    <mergeCell ref="A13:D13"/>
    <mergeCell ref="A14:D14"/>
    <mergeCell ref="A15:D15"/>
    <mergeCell ref="A16:D16"/>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34.0"/>
    <col customWidth="1" min="3" max="3" width="82.0"/>
    <col customWidth="1" min="4" max="4" width="16.0"/>
    <col customWidth="1" min="5" max="5" width="14.0"/>
    <col customWidth="1" min="6" max="6" width="10.0"/>
    <col customWidth="1" min="7" max="26" width="8.71"/>
  </cols>
  <sheetData>
    <row r="1" ht="30.0" customHeight="1">
      <c r="A1" s="1" t="s">
        <v>789</v>
      </c>
      <c r="B1" s="2"/>
      <c r="C1" s="2"/>
      <c r="D1" s="2"/>
      <c r="E1" s="2"/>
      <c r="F1" s="3"/>
    </row>
    <row r="2" ht="21.75" customHeight="1">
      <c r="A2" s="4" t="s">
        <v>802</v>
      </c>
    </row>
    <row r="3" ht="31.5" customHeight="1">
      <c r="A3" s="5" t="s">
        <v>6</v>
      </c>
      <c r="B3" s="5" t="s">
        <v>809</v>
      </c>
      <c r="C3" s="5" t="s">
        <v>810</v>
      </c>
      <c r="D3" s="5" t="s">
        <v>815</v>
      </c>
      <c r="E3" s="5" t="s">
        <v>22</v>
      </c>
      <c r="F3" s="5" t="s">
        <v>818</v>
      </c>
    </row>
    <row r="4" ht="55.5" customHeight="1">
      <c r="A4" s="39">
        <v>1.0</v>
      </c>
      <c r="B4" s="40" t="s">
        <v>832</v>
      </c>
      <c r="C4" s="36" t="s">
        <v>843</v>
      </c>
      <c r="D4" s="39" t="s">
        <v>71</v>
      </c>
      <c r="E4" s="41" t="s">
        <v>848</v>
      </c>
      <c r="F4" s="24" t="s">
        <v>32</v>
      </c>
    </row>
    <row r="5" ht="55.5" customHeight="1">
      <c r="A5" s="8">
        <v>2.0</v>
      </c>
      <c r="B5" s="10" t="s">
        <v>866</v>
      </c>
      <c r="C5" s="14" t="s">
        <v>871</v>
      </c>
      <c r="D5" s="8" t="s">
        <v>71</v>
      </c>
      <c r="E5" s="42" t="s">
        <v>81</v>
      </c>
      <c r="F5" s="24" t="s">
        <v>32</v>
      </c>
    </row>
    <row r="6" ht="55.5" customHeight="1">
      <c r="A6" s="15">
        <v>3.0</v>
      </c>
      <c r="B6" s="13" t="s">
        <v>877</v>
      </c>
      <c r="C6" s="18" t="s">
        <v>880</v>
      </c>
      <c r="D6" s="15" t="s">
        <v>71</v>
      </c>
      <c r="E6" s="44" t="s">
        <v>81</v>
      </c>
      <c r="F6" s="24" t="s">
        <v>32</v>
      </c>
    </row>
    <row r="7" ht="55.5" customHeight="1">
      <c r="A7" s="8">
        <v>4.0</v>
      </c>
      <c r="B7" s="10" t="s">
        <v>887</v>
      </c>
      <c r="C7" s="14" t="s">
        <v>888</v>
      </c>
      <c r="D7" s="8" t="s">
        <v>71</v>
      </c>
      <c r="E7" s="42" t="s">
        <v>81</v>
      </c>
      <c r="F7" s="24" t="s">
        <v>32</v>
      </c>
    </row>
    <row r="8" ht="55.5" customHeight="1">
      <c r="A8" s="15">
        <v>5.0</v>
      </c>
      <c r="B8" s="13" t="s">
        <v>895</v>
      </c>
      <c r="C8" s="18" t="s">
        <v>897</v>
      </c>
      <c r="D8" s="15" t="s">
        <v>71</v>
      </c>
      <c r="E8" s="44" t="s">
        <v>81</v>
      </c>
      <c r="F8" s="24" t="s">
        <v>32</v>
      </c>
    </row>
    <row r="9" ht="55.5" customHeight="1">
      <c r="A9" s="8">
        <v>6.0</v>
      </c>
      <c r="B9" s="10" t="s">
        <v>907</v>
      </c>
      <c r="C9" s="14" t="s">
        <v>908</v>
      </c>
      <c r="D9" s="8" t="s">
        <v>71</v>
      </c>
      <c r="E9" s="42" t="s">
        <v>81</v>
      </c>
      <c r="F9" s="24" t="s">
        <v>32</v>
      </c>
    </row>
    <row r="10" ht="55.5" customHeight="1">
      <c r="A10" s="15">
        <v>7.0</v>
      </c>
      <c r="B10" s="13" t="s">
        <v>912</v>
      </c>
      <c r="C10" s="18" t="s">
        <v>913</v>
      </c>
      <c r="D10" s="15" t="s">
        <v>71</v>
      </c>
      <c r="E10" s="44" t="s">
        <v>81</v>
      </c>
      <c r="F10" s="24" t="s">
        <v>32</v>
      </c>
    </row>
    <row r="11" ht="55.5" customHeight="1">
      <c r="A11" s="8">
        <v>8.0</v>
      </c>
      <c r="B11" s="10" t="s">
        <v>916</v>
      </c>
      <c r="C11" s="14" t="s">
        <v>917</v>
      </c>
      <c r="D11" s="8" t="s">
        <v>71</v>
      </c>
      <c r="E11" s="42" t="s">
        <v>81</v>
      </c>
      <c r="F11" s="24" t="s">
        <v>32</v>
      </c>
    </row>
    <row r="12" ht="55.5" customHeight="1">
      <c r="A12" s="15">
        <v>9.0</v>
      </c>
      <c r="B12" s="13" t="s">
        <v>920</v>
      </c>
      <c r="C12" s="18" t="s">
        <v>923</v>
      </c>
      <c r="D12" s="15" t="s">
        <v>71</v>
      </c>
      <c r="E12" s="44" t="s">
        <v>81</v>
      </c>
      <c r="F12" s="24" t="s">
        <v>32</v>
      </c>
    </row>
    <row r="13" ht="55.5" customHeight="1">
      <c r="A13" s="8">
        <v>10.0</v>
      </c>
      <c r="B13" s="10" t="s">
        <v>925</v>
      </c>
      <c r="C13" s="14" t="s">
        <v>927</v>
      </c>
      <c r="D13" s="8" t="s">
        <v>71</v>
      </c>
      <c r="E13" s="42" t="s">
        <v>81</v>
      </c>
      <c r="F13" s="24" t="s">
        <v>32</v>
      </c>
    </row>
    <row r="14" ht="55.5" customHeight="1">
      <c r="A14" s="15">
        <v>11.0</v>
      </c>
      <c r="B14" s="13" t="s">
        <v>931</v>
      </c>
      <c r="C14" s="18" t="s">
        <v>932</v>
      </c>
      <c r="D14" s="15" t="s">
        <v>71</v>
      </c>
      <c r="E14" s="44" t="s">
        <v>81</v>
      </c>
      <c r="F14" s="24" t="s">
        <v>32</v>
      </c>
    </row>
    <row r="15" ht="55.5" customHeight="1">
      <c r="A15" s="8">
        <v>12.0</v>
      </c>
      <c r="B15" s="10" t="s">
        <v>933</v>
      </c>
      <c r="C15" s="14" t="s">
        <v>935</v>
      </c>
      <c r="D15" s="8" t="s">
        <v>936</v>
      </c>
      <c r="E15" s="42" t="s">
        <v>81</v>
      </c>
      <c r="F15" s="24" t="s">
        <v>32</v>
      </c>
    </row>
    <row r="16" ht="55.5" customHeight="1">
      <c r="A16" s="15">
        <v>13.0</v>
      </c>
      <c r="B16" s="13" t="s">
        <v>940</v>
      </c>
      <c r="C16" s="18" t="s">
        <v>941</v>
      </c>
      <c r="D16" s="15" t="s">
        <v>71</v>
      </c>
      <c r="E16" s="44" t="s">
        <v>81</v>
      </c>
      <c r="F16" s="24" t="s">
        <v>32</v>
      </c>
    </row>
    <row r="17" ht="55.5" customHeight="1">
      <c r="A17" s="8">
        <v>14.0</v>
      </c>
      <c r="B17" s="10" t="s">
        <v>947</v>
      </c>
      <c r="C17" s="14" t="s">
        <v>948</v>
      </c>
      <c r="D17" s="8" t="s">
        <v>936</v>
      </c>
      <c r="E17" s="42" t="s">
        <v>81</v>
      </c>
      <c r="F17" s="24" t="s">
        <v>32</v>
      </c>
    </row>
    <row r="18" ht="55.5" customHeight="1">
      <c r="A18" s="15">
        <v>15.0</v>
      </c>
      <c r="B18" s="13" t="s">
        <v>950</v>
      </c>
      <c r="C18" s="18" t="s">
        <v>951</v>
      </c>
      <c r="D18" s="15" t="s">
        <v>71</v>
      </c>
      <c r="E18" s="44" t="s">
        <v>81</v>
      </c>
      <c r="F18" s="24" t="s">
        <v>32</v>
      </c>
    </row>
    <row r="19" ht="55.5" customHeight="1">
      <c r="A19" s="8">
        <v>16.0</v>
      </c>
      <c r="B19" s="10" t="s">
        <v>954</v>
      </c>
      <c r="C19" s="14" t="s">
        <v>956</v>
      </c>
      <c r="D19" s="8" t="s">
        <v>71</v>
      </c>
      <c r="E19" s="42" t="s">
        <v>344</v>
      </c>
      <c r="F19" s="24" t="s">
        <v>32</v>
      </c>
    </row>
    <row r="20" ht="55.5" customHeight="1">
      <c r="A20" s="15">
        <v>17.0</v>
      </c>
      <c r="B20" s="13" t="s">
        <v>959</v>
      </c>
      <c r="C20" s="18" t="s">
        <v>961</v>
      </c>
      <c r="D20" s="15" t="s">
        <v>71</v>
      </c>
      <c r="E20" s="44" t="s">
        <v>344</v>
      </c>
      <c r="F20" s="24" t="s">
        <v>32</v>
      </c>
    </row>
    <row r="21" ht="55.5" customHeight="1">
      <c r="A21" s="8">
        <v>18.0</v>
      </c>
      <c r="B21" s="10" t="s">
        <v>963</v>
      </c>
      <c r="C21" s="14" t="s">
        <v>964</v>
      </c>
      <c r="D21" s="8" t="s">
        <v>71</v>
      </c>
      <c r="E21" s="42" t="s">
        <v>344</v>
      </c>
      <c r="F21" s="24" t="s">
        <v>32</v>
      </c>
    </row>
    <row r="22" ht="55.5" customHeight="1">
      <c r="A22" s="15">
        <v>19.0</v>
      </c>
      <c r="B22" s="13" t="s">
        <v>967</v>
      </c>
      <c r="C22" s="18" t="s">
        <v>969</v>
      </c>
      <c r="D22" s="15" t="s">
        <v>71</v>
      </c>
      <c r="E22" s="44" t="s">
        <v>683</v>
      </c>
      <c r="F22" s="24" t="s">
        <v>32</v>
      </c>
    </row>
    <row r="23" ht="55.5" customHeight="1">
      <c r="A23" s="8">
        <v>20.0</v>
      </c>
      <c r="B23" s="10" t="s">
        <v>972</v>
      </c>
      <c r="C23" s="14" t="s">
        <v>974</v>
      </c>
      <c r="D23" s="8" t="s">
        <v>936</v>
      </c>
      <c r="E23" s="42" t="s">
        <v>81</v>
      </c>
      <c r="F23" s="24" t="s">
        <v>32</v>
      </c>
    </row>
    <row r="24" ht="55.5" customHeight="1">
      <c r="A24" s="15">
        <v>21.0</v>
      </c>
      <c r="B24" s="13" t="s">
        <v>976</v>
      </c>
      <c r="C24" s="18" t="s">
        <v>977</v>
      </c>
      <c r="D24" s="15" t="s">
        <v>85</v>
      </c>
      <c r="E24" s="44" t="s">
        <v>81</v>
      </c>
      <c r="F24" s="24" t="s">
        <v>32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F4:F24">
      <formula1>"No,Yes,N/A"</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0"/>
    <col customWidth="1" min="2" max="2" width="12.0"/>
    <col customWidth="1" min="3" max="3" width="10.0"/>
    <col customWidth="1" min="4" max="4" width="62.0"/>
    <col customWidth="1" min="5" max="6" width="12.0"/>
    <col customWidth="1" min="7" max="7" width="56.0"/>
    <col customWidth="1" min="8" max="26" width="8.71"/>
  </cols>
  <sheetData>
    <row r="1" ht="30.0" customHeight="1">
      <c r="A1" s="1" t="s">
        <v>1081</v>
      </c>
      <c r="B1" s="2"/>
      <c r="C1" s="2"/>
      <c r="D1" s="2"/>
      <c r="E1" s="2"/>
      <c r="F1" s="2"/>
      <c r="G1" s="3"/>
    </row>
    <row r="2" ht="21.75" customHeight="1">
      <c r="A2" s="4" t="s">
        <v>1087</v>
      </c>
    </row>
    <row r="3" ht="31.5" customHeight="1">
      <c r="A3" s="5" t="s">
        <v>23</v>
      </c>
      <c r="B3" s="5" t="s">
        <v>1090</v>
      </c>
      <c r="C3" s="5" t="s">
        <v>27</v>
      </c>
      <c r="D3" s="5" t="s">
        <v>1092</v>
      </c>
      <c r="E3" s="5" t="s">
        <v>1094</v>
      </c>
      <c r="F3" s="5" t="s">
        <v>1096</v>
      </c>
      <c r="G3" s="5" t="s">
        <v>1097</v>
      </c>
    </row>
    <row r="4" ht="91.5" customHeight="1">
      <c r="A4" s="13" t="s">
        <v>1098</v>
      </c>
      <c r="B4" s="15" t="s">
        <v>1099</v>
      </c>
      <c r="C4" s="15" t="s">
        <v>436</v>
      </c>
      <c r="D4" s="18" t="s">
        <v>1101</v>
      </c>
      <c r="E4" s="15" t="s">
        <v>1103</v>
      </c>
      <c r="F4" s="26" t="s">
        <v>1105</v>
      </c>
      <c r="G4" s="45" t="s">
        <v>1107</v>
      </c>
    </row>
    <row r="5" ht="91.5" customHeight="1">
      <c r="A5" s="10" t="s">
        <v>41</v>
      </c>
      <c r="B5" s="8" t="s">
        <v>1112</v>
      </c>
      <c r="C5" s="8">
        <f>COUNTIF('02 Page Master'!C:C,1)</f>
        <v>18</v>
      </c>
      <c r="D5" s="14" t="s">
        <v>1125</v>
      </c>
      <c r="E5" s="8" t="s">
        <v>1126</v>
      </c>
      <c r="F5" s="17" t="s">
        <v>1127</v>
      </c>
      <c r="G5" s="45" t="s">
        <v>1128</v>
      </c>
    </row>
    <row r="6" ht="91.5" customHeight="1">
      <c r="A6" s="13" t="s">
        <v>135</v>
      </c>
      <c r="B6" s="15" t="s">
        <v>1130</v>
      </c>
      <c r="C6" s="15">
        <f>COUNTIF('02 Page Master'!C:C,2)</f>
        <v>22</v>
      </c>
      <c r="D6" s="18" t="s">
        <v>1135</v>
      </c>
      <c r="E6" s="15" t="s">
        <v>1126</v>
      </c>
      <c r="F6" s="26" t="s">
        <v>1126</v>
      </c>
      <c r="G6" s="45" t="s">
        <v>1137</v>
      </c>
    </row>
    <row r="7" ht="91.5" customHeight="1">
      <c r="A7" s="10" t="s">
        <v>160</v>
      </c>
      <c r="B7" s="8" t="s">
        <v>1140</v>
      </c>
      <c r="C7" s="8">
        <f>COUNTIF('02 Page Master'!C:C,3)</f>
        <v>21</v>
      </c>
      <c r="D7" s="14" t="s">
        <v>1144</v>
      </c>
      <c r="E7" s="8" t="s">
        <v>1145</v>
      </c>
      <c r="F7" s="17" t="s">
        <v>1126</v>
      </c>
      <c r="G7" s="45" t="s">
        <v>1146</v>
      </c>
    </row>
    <row r="8" ht="91.5" customHeight="1">
      <c r="A8" s="13" t="s">
        <v>1147</v>
      </c>
      <c r="B8" s="15" t="s">
        <v>1149</v>
      </c>
      <c r="C8" s="15">
        <f>COUNTIF('02 Page Master'!C:C,4)</f>
        <v>45</v>
      </c>
      <c r="D8" s="18" t="s">
        <v>1154</v>
      </c>
      <c r="E8" s="15" t="s">
        <v>1126</v>
      </c>
      <c r="F8" s="26" t="s">
        <v>1145</v>
      </c>
      <c r="G8" s="45" t="s">
        <v>1156</v>
      </c>
    </row>
    <row r="11">
      <c r="A11" s="7" t="s">
        <v>1160</v>
      </c>
    </row>
    <row r="12" ht="25.5" customHeight="1">
      <c r="A12" s="20" t="s">
        <v>1164</v>
      </c>
      <c r="B12" s="21"/>
      <c r="C12" s="21"/>
      <c r="D12" s="21"/>
      <c r="E12" s="21"/>
      <c r="F12" s="21"/>
      <c r="G12" s="22"/>
    </row>
    <row r="13" ht="25.5" customHeight="1">
      <c r="A13" s="20" t="s">
        <v>1170</v>
      </c>
      <c r="B13" s="21"/>
      <c r="C13" s="21"/>
      <c r="D13" s="21"/>
      <c r="E13" s="21"/>
      <c r="F13" s="21"/>
      <c r="G13" s="22"/>
    </row>
    <row r="14" ht="25.5" customHeight="1">
      <c r="A14" s="20" t="s">
        <v>1177</v>
      </c>
      <c r="B14" s="21"/>
      <c r="C14" s="21"/>
      <c r="D14" s="21"/>
      <c r="E14" s="21"/>
      <c r="F14" s="21"/>
      <c r="G14" s="22"/>
    </row>
    <row r="15" ht="25.5" customHeight="1">
      <c r="A15" s="20" t="s">
        <v>1182</v>
      </c>
      <c r="B15" s="21"/>
      <c r="C15" s="21"/>
      <c r="D15" s="21"/>
      <c r="E15" s="21"/>
      <c r="F15" s="21"/>
      <c r="G15" s="22"/>
    </row>
    <row r="16" ht="25.5" customHeight="1">
      <c r="A16" s="20" t="s">
        <v>1187</v>
      </c>
      <c r="B16" s="21"/>
      <c r="C16" s="21"/>
      <c r="D16" s="21"/>
      <c r="E16" s="21"/>
      <c r="F16" s="21"/>
      <c r="G16"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G1"/>
    <mergeCell ref="A2:G2"/>
    <mergeCell ref="A12:G12"/>
    <mergeCell ref="A13:G13"/>
    <mergeCell ref="A14:G14"/>
    <mergeCell ref="A15:G15"/>
    <mergeCell ref="A16:G16"/>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7.0" topLeftCell="A38" activePane="bottomLeft" state="frozen"/>
      <selection activeCell="B39" sqref="B39" pane="bottomLeft"/>
    </sheetView>
  </sheetViews>
  <sheetFormatPr customHeight="1" defaultColWidth="14.43" defaultRowHeight="15.0"/>
  <cols>
    <col customWidth="1" min="1" max="1" width="10.0"/>
    <col customWidth="1" min="2" max="2" width="24.0"/>
    <col customWidth="1" min="3" max="3" width="18.0"/>
    <col customWidth="1" min="4" max="4" width="58.0"/>
    <col customWidth="1" min="5" max="6" width="46.0"/>
    <col customWidth="1" min="7" max="26" width="8.71"/>
  </cols>
  <sheetData>
    <row r="1" ht="30.0" customHeight="1">
      <c r="A1" s="1" t="s">
        <v>1139</v>
      </c>
      <c r="B1" s="2"/>
      <c r="C1" s="2"/>
      <c r="D1" s="2"/>
      <c r="E1" s="2"/>
      <c r="F1" s="3"/>
    </row>
    <row r="2" ht="21.75" customHeight="1">
      <c r="A2" s="4" t="s">
        <v>1151</v>
      </c>
    </row>
    <row r="3" ht="31.5" customHeight="1">
      <c r="A3" s="5" t="s">
        <v>22</v>
      </c>
      <c r="B3" s="5" t="s">
        <v>1158</v>
      </c>
      <c r="C3" s="5" t="s">
        <v>1161</v>
      </c>
      <c r="D3" s="5" t="s">
        <v>1162</v>
      </c>
      <c r="E3" s="5" t="s">
        <v>1165</v>
      </c>
      <c r="F3" s="5" t="s">
        <v>1167</v>
      </c>
    </row>
    <row r="4" ht="31.5" customHeight="1">
      <c r="A4" s="17" t="s">
        <v>81</v>
      </c>
      <c r="B4" s="10" t="s">
        <v>1169</v>
      </c>
      <c r="C4" s="9" t="s">
        <v>1171</v>
      </c>
      <c r="D4" s="14" t="s">
        <v>1173</v>
      </c>
      <c r="E4" s="14" t="s">
        <v>1175</v>
      </c>
      <c r="F4" s="46" t="s">
        <v>330</v>
      </c>
    </row>
    <row r="5" ht="31.5" customHeight="1">
      <c r="A5" s="26" t="s">
        <v>81</v>
      </c>
      <c r="B5" s="13" t="s">
        <v>1186</v>
      </c>
      <c r="C5" s="11" t="s">
        <v>1189</v>
      </c>
      <c r="D5" s="18" t="s">
        <v>1193</v>
      </c>
      <c r="E5" s="18" t="s">
        <v>1194</v>
      </c>
      <c r="F5" s="47" t="s">
        <v>343</v>
      </c>
    </row>
    <row r="6" ht="31.5" customHeight="1">
      <c r="A6" s="17" t="s">
        <v>81</v>
      </c>
      <c r="B6" s="10" t="s">
        <v>1202</v>
      </c>
      <c r="C6" s="9" t="s">
        <v>1203</v>
      </c>
      <c r="D6" s="14" t="s">
        <v>1204</v>
      </c>
      <c r="E6" s="14" t="s">
        <v>1205</v>
      </c>
      <c r="F6" s="46" t="s">
        <v>361</v>
      </c>
    </row>
    <row r="7" ht="31.5" customHeight="1">
      <c r="A7" s="26" t="s">
        <v>81</v>
      </c>
      <c r="B7" s="13" t="s">
        <v>1208</v>
      </c>
      <c r="C7" s="11" t="s">
        <v>1189</v>
      </c>
      <c r="D7" s="18" t="s">
        <v>1211</v>
      </c>
      <c r="E7" s="18" t="s">
        <v>1213</v>
      </c>
      <c r="F7" s="47" t="s">
        <v>571</v>
      </c>
    </row>
    <row r="8" ht="31.5" customHeight="1">
      <c r="A8" s="17" t="s">
        <v>344</v>
      </c>
      <c r="B8" s="10" t="s">
        <v>1217</v>
      </c>
      <c r="C8" s="9" t="s">
        <v>1218</v>
      </c>
      <c r="D8" s="14" t="s">
        <v>1221</v>
      </c>
      <c r="E8" s="14" t="s">
        <v>1224</v>
      </c>
      <c r="F8" s="46" t="s">
        <v>379</v>
      </c>
    </row>
    <row r="9" ht="31.5" customHeight="1">
      <c r="A9" s="26" t="s">
        <v>344</v>
      </c>
      <c r="B9" s="13" t="s">
        <v>1228</v>
      </c>
      <c r="C9" s="11" t="s">
        <v>1230</v>
      </c>
      <c r="D9" s="18" t="s">
        <v>1231</v>
      </c>
      <c r="E9" s="18" t="s">
        <v>1232</v>
      </c>
      <c r="F9" s="47" t="s">
        <v>393</v>
      </c>
    </row>
    <row r="10" ht="31.5" customHeight="1">
      <c r="A10" s="17" t="s">
        <v>344</v>
      </c>
      <c r="B10" s="10" t="s">
        <v>1236</v>
      </c>
      <c r="C10" s="9" t="s">
        <v>1203</v>
      </c>
      <c r="D10" s="14" t="s">
        <v>1238</v>
      </c>
      <c r="E10" s="14" t="s">
        <v>1241</v>
      </c>
      <c r="F10" s="46" t="s">
        <v>409</v>
      </c>
    </row>
    <row r="11" ht="31.5" customHeight="1">
      <c r="A11" s="26" t="s">
        <v>344</v>
      </c>
      <c r="B11" s="13" t="s">
        <v>1244</v>
      </c>
      <c r="C11" s="11" t="s">
        <v>1245</v>
      </c>
      <c r="D11" s="18" t="s">
        <v>1247</v>
      </c>
      <c r="E11" s="18" t="s">
        <v>1249</v>
      </c>
      <c r="F11" s="47" t="s">
        <v>427</v>
      </c>
    </row>
    <row r="12" ht="31.5" customHeight="1">
      <c r="A12" s="17" t="s">
        <v>683</v>
      </c>
      <c r="B12" s="10" t="s">
        <v>1252</v>
      </c>
      <c r="C12" s="9" t="s">
        <v>1245</v>
      </c>
      <c r="D12" s="14" t="s">
        <v>1255</v>
      </c>
      <c r="E12" s="14" t="s">
        <v>1256</v>
      </c>
      <c r="F12" s="46" t="s">
        <v>443</v>
      </c>
    </row>
    <row r="13" ht="31.5" customHeight="1">
      <c r="A13" s="26" t="s">
        <v>683</v>
      </c>
      <c r="B13" s="13" t="s">
        <v>1260</v>
      </c>
      <c r="C13" s="11" t="s">
        <v>1245</v>
      </c>
      <c r="D13" s="18" t="s">
        <v>1264</v>
      </c>
      <c r="E13" s="18" t="s">
        <v>1267</v>
      </c>
      <c r="F13" s="47" t="s">
        <v>461</v>
      </c>
    </row>
    <row r="14" ht="31.5" customHeight="1">
      <c r="A14" s="17" t="s">
        <v>683</v>
      </c>
      <c r="B14" s="10" t="s">
        <v>1272</v>
      </c>
      <c r="C14" s="9" t="s">
        <v>1189</v>
      </c>
      <c r="D14" s="14" t="s">
        <v>1277</v>
      </c>
      <c r="E14" s="14" t="s">
        <v>1279</v>
      </c>
      <c r="F14" s="46" t="s">
        <v>478</v>
      </c>
    </row>
    <row r="15" ht="31.5" customHeight="1">
      <c r="A15" s="26" t="s">
        <v>683</v>
      </c>
      <c r="B15" s="13" t="s">
        <v>1286</v>
      </c>
      <c r="C15" s="11" t="s">
        <v>1189</v>
      </c>
      <c r="D15" s="18" t="s">
        <v>1289</v>
      </c>
      <c r="E15" s="18" t="s">
        <v>1290</v>
      </c>
      <c r="F15" s="47" t="s">
        <v>498</v>
      </c>
    </row>
    <row r="16" ht="31.5" customHeight="1">
      <c r="A16" s="17" t="s">
        <v>683</v>
      </c>
      <c r="B16" s="10" t="s">
        <v>1299</v>
      </c>
      <c r="C16" s="9" t="s">
        <v>1203</v>
      </c>
      <c r="D16" s="14" t="s">
        <v>1301</v>
      </c>
      <c r="E16" s="14" t="s">
        <v>1303</v>
      </c>
      <c r="F16" s="46" t="s">
        <v>517</v>
      </c>
    </row>
    <row r="17" ht="31.5" customHeight="1">
      <c r="A17" s="26" t="s">
        <v>683</v>
      </c>
      <c r="B17" s="13" t="s">
        <v>1309</v>
      </c>
      <c r="C17" s="11" t="s">
        <v>1171</v>
      </c>
      <c r="D17" s="18" t="s">
        <v>1313</v>
      </c>
      <c r="E17" s="18" t="s">
        <v>1317</v>
      </c>
      <c r="F17" s="47" t="s">
        <v>545</v>
      </c>
    </row>
    <row r="20">
      <c r="A20" s="7" t="s">
        <v>1325</v>
      </c>
    </row>
    <row r="21" ht="31.5" customHeight="1">
      <c r="A21" s="5" t="s">
        <v>1332</v>
      </c>
      <c r="B21" s="5" t="s">
        <v>297</v>
      </c>
      <c r="C21" s="5" t="s">
        <v>1335</v>
      </c>
      <c r="D21" s="5" t="s">
        <v>1338</v>
      </c>
      <c r="E21" s="5" t="s">
        <v>1340</v>
      </c>
      <c r="F21" s="5" t="s">
        <v>1167</v>
      </c>
    </row>
    <row r="22" ht="31.5" customHeight="1">
      <c r="A22" s="17" t="s">
        <v>1346</v>
      </c>
      <c r="B22" s="10" t="s">
        <v>1350</v>
      </c>
      <c r="C22" s="9" t="s">
        <v>1352</v>
      </c>
      <c r="D22" s="14" t="s">
        <v>1354</v>
      </c>
      <c r="E22" s="14" t="s">
        <v>1355</v>
      </c>
      <c r="F22" s="46" t="s">
        <v>184</v>
      </c>
    </row>
    <row r="23" ht="31.5" customHeight="1">
      <c r="A23" s="26" t="s">
        <v>1346</v>
      </c>
      <c r="B23" s="13" t="s">
        <v>1359</v>
      </c>
      <c r="C23" s="11" t="s">
        <v>1361</v>
      </c>
      <c r="D23" s="18" t="s">
        <v>1363</v>
      </c>
      <c r="E23" s="18" t="s">
        <v>1364</v>
      </c>
      <c r="F23" s="47" t="s">
        <v>197</v>
      </c>
    </row>
    <row r="24" ht="31.5" customHeight="1">
      <c r="A24" s="17" t="s">
        <v>1346</v>
      </c>
      <c r="B24" s="10" t="s">
        <v>1367</v>
      </c>
      <c r="C24" s="9" t="s">
        <v>1368</v>
      </c>
      <c r="D24" s="14" t="s">
        <v>1369</v>
      </c>
      <c r="E24" s="14" t="s">
        <v>1370</v>
      </c>
      <c r="F24" s="46" t="s">
        <v>200</v>
      </c>
    </row>
    <row r="25" ht="31.5" customHeight="1">
      <c r="A25" s="26" t="s">
        <v>1346</v>
      </c>
      <c r="B25" s="13" t="s">
        <v>1372</v>
      </c>
      <c r="C25" s="11" t="s">
        <v>1373</v>
      </c>
      <c r="D25" s="18" t="s">
        <v>1374</v>
      </c>
      <c r="E25" s="18" t="s">
        <v>1376</v>
      </c>
      <c r="F25" s="47" t="s">
        <v>205</v>
      </c>
    </row>
    <row r="26" ht="31.5" customHeight="1">
      <c r="A26" s="17" t="s">
        <v>1346</v>
      </c>
      <c r="B26" s="10" t="s">
        <v>1381</v>
      </c>
      <c r="C26" s="9" t="s">
        <v>1382</v>
      </c>
      <c r="D26" s="14" t="s">
        <v>1384</v>
      </c>
      <c r="E26" s="14" t="s">
        <v>1385</v>
      </c>
      <c r="F26" s="46" t="s">
        <v>217</v>
      </c>
    </row>
    <row r="27" ht="31.5" customHeight="1">
      <c r="A27" s="26" t="s">
        <v>1346</v>
      </c>
      <c r="B27" s="13" t="s">
        <v>1387</v>
      </c>
      <c r="C27" s="11" t="s">
        <v>1389</v>
      </c>
      <c r="D27" s="18" t="s">
        <v>1390</v>
      </c>
      <c r="E27" s="18" t="s">
        <v>1392</v>
      </c>
      <c r="F27" s="47" t="s">
        <v>236</v>
      </c>
    </row>
    <row r="28" ht="31.5" customHeight="1">
      <c r="A28" s="17" t="s">
        <v>1346</v>
      </c>
      <c r="B28" s="10" t="s">
        <v>1394</v>
      </c>
      <c r="C28" s="9" t="s">
        <v>1395</v>
      </c>
      <c r="D28" s="14" t="s">
        <v>1396</v>
      </c>
      <c r="E28" s="14" t="s">
        <v>1399</v>
      </c>
      <c r="F28" s="46" t="s">
        <v>261</v>
      </c>
    </row>
    <row r="29" ht="31.5" customHeight="1">
      <c r="A29" s="26" t="s">
        <v>1402</v>
      </c>
      <c r="B29" s="13" t="s">
        <v>1404</v>
      </c>
      <c r="C29" s="11" t="s">
        <v>1406</v>
      </c>
      <c r="D29" s="18" t="s">
        <v>1407</v>
      </c>
      <c r="E29" s="18" t="s">
        <v>1408</v>
      </c>
      <c r="F29" s="47" t="s">
        <v>601</v>
      </c>
    </row>
    <row r="30" ht="31.5" customHeight="1">
      <c r="A30" s="17" t="s">
        <v>1402</v>
      </c>
      <c r="B30" s="10" t="s">
        <v>1410</v>
      </c>
      <c r="C30" s="9" t="s">
        <v>1411</v>
      </c>
      <c r="D30" s="14" t="s">
        <v>1412</v>
      </c>
      <c r="E30" s="14" t="s">
        <v>1413</v>
      </c>
      <c r="F30" s="46" t="s">
        <v>610</v>
      </c>
    </row>
    <row r="31" ht="31.5" customHeight="1">
      <c r="A31" s="26" t="s">
        <v>1402</v>
      </c>
      <c r="B31" s="13" t="s">
        <v>1416</v>
      </c>
      <c r="C31" s="11" t="s">
        <v>1417</v>
      </c>
      <c r="D31" s="18" t="s">
        <v>1418</v>
      </c>
      <c r="E31" s="18" t="s">
        <v>1420</v>
      </c>
      <c r="F31" s="47" t="s">
        <v>619</v>
      </c>
    </row>
    <row r="32" ht="31.5" customHeight="1">
      <c r="A32" s="17" t="s">
        <v>1402</v>
      </c>
      <c r="B32" s="10" t="s">
        <v>1424</v>
      </c>
      <c r="C32" s="9" t="s">
        <v>1425</v>
      </c>
      <c r="D32" s="14" t="s">
        <v>1426</v>
      </c>
      <c r="E32" s="14" t="s">
        <v>1428</v>
      </c>
      <c r="F32" s="46" t="s">
        <v>628</v>
      </c>
    </row>
    <row r="33" ht="31.5" customHeight="1">
      <c r="A33" s="26" t="s">
        <v>1402</v>
      </c>
      <c r="B33" s="13" t="s">
        <v>1429</v>
      </c>
      <c r="C33" s="11" t="s">
        <v>1430</v>
      </c>
      <c r="D33" s="18" t="s">
        <v>1432</v>
      </c>
      <c r="E33" s="18" t="s">
        <v>1433</v>
      </c>
      <c r="F33" s="47" t="s">
        <v>637</v>
      </c>
    </row>
    <row r="34" ht="15.75" customHeight="1"/>
    <row r="35" ht="15.75" customHeight="1"/>
    <row r="36" ht="15.0" customHeight="1">
      <c r="A36" s="49" t="s">
        <v>1435</v>
      </c>
      <c r="B36" s="21"/>
      <c r="C36" s="21"/>
      <c r="D36" s="21"/>
      <c r="E36" s="21"/>
      <c r="F36" s="22"/>
    </row>
    <row r="37" ht="31.5" customHeight="1">
      <c r="A37" s="5" t="s">
        <v>1441</v>
      </c>
      <c r="B37" s="5" t="s">
        <v>1442</v>
      </c>
      <c r="C37" s="5" t="s">
        <v>1443</v>
      </c>
      <c r="D37" s="5" t="s">
        <v>1445</v>
      </c>
      <c r="E37" s="5" t="s">
        <v>1446</v>
      </c>
      <c r="F37" s="5"/>
    </row>
    <row r="38" ht="21.75" customHeight="1">
      <c r="A38" s="9" t="s">
        <v>1447</v>
      </c>
      <c r="B38" s="9" t="s">
        <v>1448</v>
      </c>
      <c r="C38" s="8" t="s">
        <v>1449</v>
      </c>
      <c r="D38" s="8" t="s">
        <v>1451</v>
      </c>
      <c r="E38" s="9" t="s">
        <v>1452</v>
      </c>
      <c r="F38" s="9"/>
    </row>
    <row r="39" ht="21.75" customHeight="1">
      <c r="A39" s="11" t="s">
        <v>1455</v>
      </c>
      <c r="B39" s="11" t="s">
        <v>1448</v>
      </c>
      <c r="C39" s="15" t="s">
        <v>1457</v>
      </c>
      <c r="D39" s="15" t="s">
        <v>1459</v>
      </c>
      <c r="E39" s="11" t="s">
        <v>1460</v>
      </c>
      <c r="F39" s="11"/>
    </row>
    <row r="40" ht="21.75" customHeight="1">
      <c r="A40" s="9" t="s">
        <v>1462</v>
      </c>
      <c r="B40" s="9" t="s">
        <v>1448</v>
      </c>
      <c r="C40" s="8" t="s">
        <v>1463</v>
      </c>
      <c r="D40" s="8" t="s">
        <v>1464</v>
      </c>
      <c r="E40" s="9" t="s">
        <v>1465</v>
      </c>
      <c r="F40" s="9"/>
    </row>
    <row r="41" ht="21.75" customHeight="1">
      <c r="A41" s="51" t="s">
        <v>1467</v>
      </c>
      <c r="B41" s="51" t="s">
        <v>1470</v>
      </c>
      <c r="C41" s="52" t="s">
        <v>1473</v>
      </c>
      <c r="D41" s="52" t="s">
        <v>1475</v>
      </c>
      <c r="E41" s="51" t="s">
        <v>1477</v>
      </c>
      <c r="F41" s="51"/>
    </row>
    <row r="42" ht="21.75" customHeight="1">
      <c r="A42" s="9" t="s">
        <v>1478</v>
      </c>
      <c r="B42" s="9" t="s">
        <v>1470</v>
      </c>
      <c r="C42" s="8" t="s">
        <v>1449</v>
      </c>
      <c r="D42" s="8" t="s">
        <v>1451</v>
      </c>
      <c r="E42" s="9" t="s">
        <v>1480</v>
      </c>
      <c r="F42" s="9"/>
    </row>
    <row r="43" ht="21.75" customHeight="1">
      <c r="A43" s="11" t="s">
        <v>1481</v>
      </c>
      <c r="B43" s="11" t="s">
        <v>1470</v>
      </c>
      <c r="C43" s="15" t="s">
        <v>1457</v>
      </c>
      <c r="D43" s="15" t="s">
        <v>1459</v>
      </c>
      <c r="E43" s="11" t="s">
        <v>1483</v>
      </c>
      <c r="F43" s="11"/>
    </row>
    <row r="44" ht="15.75" customHeight="1"/>
    <row r="45" ht="15.0" customHeight="1">
      <c r="A45" s="37" t="s">
        <v>1488</v>
      </c>
      <c r="B45" s="21"/>
      <c r="C45" s="21"/>
      <c r="D45" s="21"/>
      <c r="E45" s="21"/>
      <c r="F45" s="22"/>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36:F36"/>
    <mergeCell ref="A45:F45"/>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0"/>
    <col customWidth="1" min="2" max="3" width="48.0"/>
    <col customWidth="1" min="4" max="4" width="60.0"/>
    <col customWidth="1" min="5" max="26" width="8.71"/>
  </cols>
  <sheetData>
    <row r="1" ht="30.0" customHeight="1">
      <c r="A1" s="1" t="s">
        <v>1197</v>
      </c>
      <c r="B1" s="2"/>
      <c r="C1" s="2"/>
      <c r="D1" s="3"/>
    </row>
    <row r="2" ht="21.75" customHeight="1">
      <c r="A2" s="4" t="s">
        <v>1207</v>
      </c>
    </row>
    <row r="3" ht="31.5" customHeight="1">
      <c r="A3" s="5" t="s">
        <v>1214</v>
      </c>
      <c r="B3" s="5" t="s">
        <v>1216</v>
      </c>
      <c r="C3" s="5" t="s">
        <v>1219</v>
      </c>
      <c r="D3" s="5" t="s">
        <v>1223</v>
      </c>
    </row>
    <row r="4" ht="75.75" customHeight="1">
      <c r="A4" s="13" t="s">
        <v>1226</v>
      </c>
      <c r="B4" s="18" t="s">
        <v>1233</v>
      </c>
      <c r="C4" s="18" t="s">
        <v>1235</v>
      </c>
      <c r="D4" s="48" t="s">
        <v>1240</v>
      </c>
    </row>
    <row r="5" ht="75.75" customHeight="1">
      <c r="A5" s="10" t="s">
        <v>1254</v>
      </c>
      <c r="B5" s="14" t="s">
        <v>1257</v>
      </c>
      <c r="C5" s="14" t="s">
        <v>1259</v>
      </c>
      <c r="D5" s="48" t="s">
        <v>1261</v>
      </c>
    </row>
    <row r="6" ht="75.75" customHeight="1">
      <c r="A6" s="13" t="s">
        <v>1265</v>
      </c>
      <c r="B6" s="18" t="s">
        <v>1268</v>
      </c>
      <c r="C6" s="18" t="s">
        <v>1269</v>
      </c>
      <c r="D6" s="48" t="s">
        <v>1271</v>
      </c>
    </row>
    <row r="7" ht="75.75" customHeight="1">
      <c r="A7" s="10" t="s">
        <v>1274</v>
      </c>
      <c r="B7" s="14" t="s">
        <v>1276</v>
      </c>
      <c r="C7" s="14" t="s">
        <v>1278</v>
      </c>
      <c r="D7" s="48" t="s">
        <v>1281</v>
      </c>
    </row>
    <row r="8" ht="75.75" customHeight="1">
      <c r="A8" s="13" t="s">
        <v>1283</v>
      </c>
      <c r="B8" s="18" t="s">
        <v>1285</v>
      </c>
      <c r="C8" s="18" t="s">
        <v>1287</v>
      </c>
      <c r="D8" s="48" t="s">
        <v>1288</v>
      </c>
    </row>
    <row r="9" ht="75.75" customHeight="1">
      <c r="A9" s="10" t="s">
        <v>1292</v>
      </c>
      <c r="B9" s="14" t="s">
        <v>1293</v>
      </c>
      <c r="C9" s="14" t="s">
        <v>1295</v>
      </c>
      <c r="D9" s="48" t="s">
        <v>1297</v>
      </c>
    </row>
    <row r="10" ht="75.75" customHeight="1">
      <c r="A10" s="13" t="s">
        <v>1300</v>
      </c>
      <c r="B10" s="18" t="s">
        <v>1304</v>
      </c>
      <c r="C10" s="18" t="s">
        <v>1305</v>
      </c>
      <c r="D10" s="48" t="s">
        <v>1308</v>
      </c>
    </row>
    <row r="11" ht="75.75" customHeight="1">
      <c r="A11" s="10" t="s">
        <v>1310</v>
      </c>
      <c r="B11" s="14" t="s">
        <v>1312</v>
      </c>
      <c r="C11" s="14" t="s">
        <v>1315</v>
      </c>
      <c r="D11" s="48" t="s">
        <v>1319</v>
      </c>
    </row>
    <row r="12" ht="75.75" customHeight="1">
      <c r="A12" s="13" t="s">
        <v>1320</v>
      </c>
      <c r="B12" s="18" t="s">
        <v>1321</v>
      </c>
      <c r="C12" s="18" t="s">
        <v>1322</v>
      </c>
      <c r="D12" s="48" t="s">
        <v>1324</v>
      </c>
    </row>
    <row r="13" ht="75.75" customHeight="1">
      <c r="A13" s="10" t="s">
        <v>237</v>
      </c>
      <c r="B13" s="14" t="s">
        <v>1328</v>
      </c>
      <c r="C13" s="14" t="s">
        <v>1330</v>
      </c>
      <c r="D13" s="48" t="s">
        <v>1331</v>
      </c>
    </row>
    <row r="14" ht="75.75" customHeight="1">
      <c r="A14" s="13" t="s">
        <v>1334</v>
      </c>
      <c r="B14" s="18" t="s">
        <v>1336</v>
      </c>
      <c r="C14" s="18" t="s">
        <v>1339</v>
      </c>
      <c r="D14" s="48" t="s">
        <v>1342</v>
      </c>
    </row>
    <row r="15" ht="75.75" customHeight="1">
      <c r="A15" s="10" t="s">
        <v>1345</v>
      </c>
      <c r="B15" s="14" t="s">
        <v>1348</v>
      </c>
      <c r="C15" s="14" t="s">
        <v>1351</v>
      </c>
      <c r="D15" s="48" t="s">
        <v>1353</v>
      </c>
    </row>
    <row r="18" ht="15.0" customHeight="1">
      <c r="A18" s="49" t="s">
        <v>1357</v>
      </c>
      <c r="B18" s="21"/>
      <c r="C18" s="21"/>
      <c r="D18" s="22"/>
    </row>
    <row r="19" ht="39.75" customHeight="1">
      <c r="A19" s="50" t="s">
        <v>1377</v>
      </c>
      <c r="B19" s="21"/>
      <c r="C19" s="21"/>
      <c r="D19" s="22"/>
    </row>
    <row r="20" ht="39.75" customHeight="1">
      <c r="A20" s="50" t="s">
        <v>1391</v>
      </c>
      <c r="B20" s="21"/>
      <c r="C20" s="21"/>
      <c r="D20" s="22"/>
    </row>
    <row r="21" ht="39.75" customHeight="1">
      <c r="A21" s="50" t="s">
        <v>1403</v>
      </c>
      <c r="B21" s="21"/>
      <c r="C21" s="21"/>
      <c r="D21" s="22"/>
    </row>
    <row r="22" ht="15.75" customHeight="1"/>
    <row r="23" ht="30.0" customHeight="1">
      <c r="A23" s="37" t="s">
        <v>1414</v>
      </c>
      <c r="B23" s="21"/>
      <c r="C23" s="21"/>
      <c r="D23" s="22"/>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18:D18"/>
    <mergeCell ref="A19:D19"/>
    <mergeCell ref="A20:D20"/>
    <mergeCell ref="A21:D21"/>
    <mergeCell ref="A23:D23"/>
  </mergeCells>
  <printOptions/>
  <pageMargins bottom="1.0" footer="0.0" header="0.0" left="0.75" right="0.75" top="1.0"/>
  <pageSetup paperSize="9" orientation="portrait"/>
  <drawing r:id="rId1"/>
</worksheet>
</file>